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ERSONAL FOLDER\PROJECTS FOR JAN 5 2025 PORTFOLIO\Bike_Retailer_Customer_Project\Bike_Buyers_Dashboard\"/>
    </mc:Choice>
  </mc:AlternateContent>
  <xr:revisionPtr revIDLastSave="0" documentId="13_ncr:1_{11E101EC-218B-40F7-BC74-9CE6219C8EFC}" xr6:coauthVersionLast="36" xr6:coauthVersionMax="36" xr10:uidLastSave="{00000000-0000-0000-0000-000000000000}"/>
  <bookViews>
    <workbookView xWindow="0" yWindow="0" windowWidth="20400" windowHeight="7545" tabRatio="685" firstSheet="4" activeTab="4" xr2:uid="{A49ED738-5B63-4CAA-A380-94E70F47AC10}"/>
  </bookViews>
  <sheets>
    <sheet name="bike_buyers main" sheetId="1" state="hidden" r:id="rId1"/>
    <sheet name="bike_buyers" sheetId="2" state="hidden" r:id="rId2"/>
    <sheet name="bike_buyers_final dataset" sheetId="3" state="hidden" r:id="rId3"/>
    <sheet name="Validations" sheetId="4" state="hidden" r:id="rId4"/>
    <sheet name="DashBoard" sheetId="6" r:id="rId5"/>
    <sheet name="Age_Group_Visit_Purchased" sheetId="5" state="hidden" r:id="rId6"/>
    <sheet name="Income Group" sheetId="7" state="hidden" r:id="rId7"/>
    <sheet name="Gender" sheetId="8" state="hidden" r:id="rId8"/>
    <sheet name="Location" sheetId="9" state="hidden" r:id="rId9"/>
    <sheet name="Commute_Distance" sheetId="10" state="hidden" r:id="rId10"/>
    <sheet name="Purchased &amp;Or Visited" sheetId="11" state="hidden" r:id="rId11"/>
  </sheets>
  <definedNames>
    <definedName name="_xlnm._FilterDatabase" localSheetId="1" hidden="1">bike_buyers!$A$1:$F$1001</definedName>
    <definedName name="_xlnm._FilterDatabase" localSheetId="0" hidden="1">'bike_buyers main'!$A$1:$M$1027</definedName>
    <definedName name="_xlnm._FilterDatabase" localSheetId="2" hidden="1">'bike_buyers_final dataset'!$A$1:$D$1001</definedName>
    <definedName name="_xlchart.v1.0" hidden="1">Location!$A$8:$A$10</definedName>
    <definedName name="_xlchart.v1.1" hidden="1">Location!$B$7</definedName>
    <definedName name="_xlchart.v1.2" hidden="1">Location!$B$8:$B$10</definedName>
    <definedName name="_xlchart.v1.3" hidden="1">Commute_Distance!$A$11:$A$15</definedName>
    <definedName name="_xlchart.v1.4" hidden="1">Commute_Distance!$C$10</definedName>
    <definedName name="_xlchart.v1.5" hidden="1">Commute_Distance!$C$11:$C$15</definedName>
    <definedName name="Gender">DashBoard!$I$28</definedName>
    <definedName name="Location">DashBoard!$I$50</definedName>
    <definedName name="Marital_Status">DashBoard!$I$39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1" l="1"/>
  <c r="F9" i="11"/>
  <c r="F4" i="11"/>
  <c r="F5" i="11" s="1"/>
  <c r="C4" i="11"/>
  <c r="B4" i="11"/>
  <c r="F3" i="11"/>
  <c r="C3" i="11"/>
  <c r="B3" i="11"/>
  <c r="A15" i="10"/>
  <c r="A14" i="10"/>
  <c r="A13" i="10"/>
  <c r="A12" i="10"/>
  <c r="A11" i="10"/>
  <c r="A10" i="10"/>
  <c r="A18" i="10" s="1"/>
  <c r="G7" i="10"/>
  <c r="C15" i="10" s="1"/>
  <c r="F7" i="10"/>
  <c r="C7" i="10"/>
  <c r="B15" i="10" s="1"/>
  <c r="B7" i="10"/>
  <c r="G6" i="10"/>
  <c r="C14" i="10" s="1"/>
  <c r="F6" i="10"/>
  <c r="C6" i="10"/>
  <c r="B14" i="10" s="1"/>
  <c r="B6" i="10"/>
  <c r="G5" i="10"/>
  <c r="C13" i="10" s="1"/>
  <c r="F5" i="10"/>
  <c r="C5" i="10"/>
  <c r="B13" i="10" s="1"/>
  <c r="B5" i="10"/>
  <c r="G4" i="10"/>
  <c r="C12" i="10" s="1"/>
  <c r="F4" i="10"/>
  <c r="C4" i="10"/>
  <c r="B12" i="10" s="1"/>
  <c r="B4" i="10"/>
  <c r="G3" i="10"/>
  <c r="C11" i="10" s="1"/>
  <c r="F3" i="10"/>
  <c r="C3" i="10"/>
  <c r="B11" i="10" s="1"/>
  <c r="B3" i="10"/>
  <c r="A21" i="9"/>
  <c r="A19" i="9"/>
  <c r="A17" i="9"/>
  <c r="A22" i="9" s="1"/>
  <c r="A16" i="9"/>
  <c r="W15" i="9"/>
  <c r="S15" i="9"/>
  <c r="T14" i="9"/>
  <c r="V10" i="9"/>
  <c r="W16" i="9" s="1"/>
  <c r="T10" i="9"/>
  <c r="T16" i="9" s="1"/>
  <c r="A10" i="9"/>
  <c r="S10" i="9" s="1"/>
  <c r="S16" i="9" s="1"/>
  <c r="U9" i="9"/>
  <c r="U15" i="9" s="1"/>
  <c r="S9" i="9"/>
  <c r="A9" i="9"/>
  <c r="V8" i="9"/>
  <c r="W14" i="9" s="1"/>
  <c r="X14" i="9" s="1"/>
  <c r="T8" i="9"/>
  <c r="A8" i="9"/>
  <c r="Z5" i="9"/>
  <c r="Y5" i="9"/>
  <c r="W5" i="9"/>
  <c r="U10" i="9" s="1"/>
  <c r="U16" i="9" s="1"/>
  <c r="Z16" i="9" s="1"/>
  <c r="V5" i="9"/>
  <c r="T5" i="9"/>
  <c r="S5" i="9"/>
  <c r="L5" i="9"/>
  <c r="D10" i="9" s="1"/>
  <c r="E17" i="9" s="1"/>
  <c r="K5" i="9"/>
  <c r="G5" i="9"/>
  <c r="C10" i="9" s="1"/>
  <c r="F5" i="9"/>
  <c r="C5" i="9"/>
  <c r="B10" i="9" s="1"/>
  <c r="B17" i="9" s="1"/>
  <c r="B5" i="9"/>
  <c r="Z4" i="9"/>
  <c r="V9" i="9" s="1"/>
  <c r="Y4" i="9"/>
  <c r="W4" i="9"/>
  <c r="V4" i="9"/>
  <c r="T4" i="9"/>
  <c r="T9" i="9" s="1"/>
  <c r="T15" i="9" s="1"/>
  <c r="S4" i="9"/>
  <c r="L4" i="9"/>
  <c r="D9" i="9" s="1"/>
  <c r="E16" i="9" s="1"/>
  <c r="K4" i="9"/>
  <c r="G4" i="9"/>
  <c r="C9" i="9" s="1"/>
  <c r="F4" i="9"/>
  <c r="C4" i="9"/>
  <c r="B9" i="9" s="1"/>
  <c r="B16" i="9" s="1"/>
  <c r="B4" i="9"/>
  <c r="Z3" i="9"/>
  <c r="Y3" i="9"/>
  <c r="W3" i="9"/>
  <c r="U8" i="9" s="1"/>
  <c r="U14" i="9" s="1"/>
  <c r="V3" i="9"/>
  <c r="T3" i="9"/>
  <c r="S3" i="9"/>
  <c r="L3" i="9"/>
  <c r="D8" i="9" s="1"/>
  <c r="E15" i="9" s="1"/>
  <c r="K3" i="9"/>
  <c r="G3" i="9"/>
  <c r="C8" i="9" s="1"/>
  <c r="F3" i="9"/>
  <c r="C3" i="9"/>
  <c r="B8" i="9" s="1"/>
  <c r="B15" i="9" s="1"/>
  <c r="B3" i="9"/>
  <c r="C13" i="8"/>
  <c r="B13" i="8"/>
  <c r="A13" i="8"/>
  <c r="A10" i="8"/>
  <c r="A9" i="8"/>
  <c r="E4" i="8"/>
  <c r="C10" i="8" s="1"/>
  <c r="D4" i="8"/>
  <c r="C4" i="8"/>
  <c r="B10" i="8" s="1"/>
  <c r="B4" i="8"/>
  <c r="E3" i="8"/>
  <c r="C9" i="8" s="1"/>
  <c r="D9" i="8" s="1"/>
  <c r="D3" i="8"/>
  <c r="C3" i="8"/>
  <c r="B9" i="8" s="1"/>
  <c r="B3" i="8"/>
  <c r="D15" i="7"/>
  <c r="O12" i="7"/>
  <c r="N12" i="7"/>
  <c r="M12" i="7"/>
  <c r="C10" i="7"/>
  <c r="B10" i="7"/>
  <c r="A10" i="7"/>
  <c r="M10" i="7" s="1"/>
  <c r="B9" i="7"/>
  <c r="A9" i="7"/>
  <c r="M9" i="7" s="1"/>
  <c r="B8" i="7"/>
  <c r="A8" i="7"/>
  <c r="M8" i="7" s="1"/>
  <c r="O7" i="7"/>
  <c r="N7" i="7"/>
  <c r="M7" i="7"/>
  <c r="R5" i="7"/>
  <c r="O10" i="7" s="1"/>
  <c r="Q5" i="7"/>
  <c r="L5" i="7"/>
  <c r="N10" i="7" s="1"/>
  <c r="K5" i="7"/>
  <c r="E5" i="7"/>
  <c r="D5" i="7"/>
  <c r="C5" i="7"/>
  <c r="B5" i="7"/>
  <c r="R4" i="7"/>
  <c r="O9" i="7" s="1"/>
  <c r="Q4" i="7"/>
  <c r="L4" i="7"/>
  <c r="N9" i="7" s="1"/>
  <c r="K4" i="7"/>
  <c r="E4" i="7"/>
  <c r="C9" i="7" s="1"/>
  <c r="D4" i="7"/>
  <c r="C4" i="7"/>
  <c r="B4" i="7"/>
  <c r="R3" i="7"/>
  <c r="O8" i="7" s="1"/>
  <c r="Q3" i="7"/>
  <c r="L3" i="7"/>
  <c r="N8" i="7" s="1"/>
  <c r="K3" i="7"/>
  <c r="E3" i="7"/>
  <c r="C8" i="7" s="1"/>
  <c r="D3" i="7"/>
  <c r="C3" i="7"/>
  <c r="B3" i="7"/>
  <c r="P17" i="5"/>
  <c r="E15" i="5"/>
  <c r="C15" i="5"/>
  <c r="A15" i="5"/>
  <c r="P15" i="5" s="1"/>
  <c r="P14" i="5"/>
  <c r="B14" i="5"/>
  <c r="A14" i="5"/>
  <c r="E13" i="5"/>
  <c r="C13" i="5"/>
  <c r="A13" i="5"/>
  <c r="P13" i="5" s="1"/>
  <c r="P12" i="5"/>
  <c r="B12" i="5"/>
  <c r="A12" i="5"/>
  <c r="E11" i="5"/>
  <c r="C11" i="5"/>
  <c r="A11" i="5"/>
  <c r="P11" i="5" s="1"/>
  <c r="Q10" i="5"/>
  <c r="Q17" i="5" s="1"/>
  <c r="C10" i="5"/>
  <c r="R10" i="5" s="1"/>
  <c r="R17" i="5" s="1"/>
  <c r="B10" i="5"/>
  <c r="B17" i="5" s="1"/>
  <c r="A10" i="5"/>
  <c r="P10" i="5" s="1"/>
  <c r="U7" i="5"/>
  <c r="R15" i="5" s="1"/>
  <c r="T7" i="5"/>
  <c r="O7" i="5"/>
  <c r="Q15" i="5" s="1"/>
  <c r="N7" i="5"/>
  <c r="K7" i="5"/>
  <c r="J7" i="5"/>
  <c r="H7" i="5"/>
  <c r="G7" i="5"/>
  <c r="E7" i="5"/>
  <c r="D7" i="5"/>
  <c r="C7" i="5"/>
  <c r="B15" i="5" s="1"/>
  <c r="B7" i="5"/>
  <c r="U6" i="5"/>
  <c r="R14" i="5" s="1"/>
  <c r="T6" i="5"/>
  <c r="O6" i="5"/>
  <c r="Q14" i="5" s="1"/>
  <c r="N6" i="5"/>
  <c r="K6" i="5"/>
  <c r="J6" i="5"/>
  <c r="H6" i="5"/>
  <c r="G6" i="5"/>
  <c r="E6" i="5"/>
  <c r="C14" i="5" s="1"/>
  <c r="D6" i="5"/>
  <c r="C6" i="5"/>
  <c r="B6" i="5"/>
  <c r="U5" i="5"/>
  <c r="R13" i="5" s="1"/>
  <c r="T5" i="5"/>
  <c r="O5" i="5"/>
  <c r="Q13" i="5" s="1"/>
  <c r="N5" i="5"/>
  <c r="K5" i="5"/>
  <c r="J5" i="5"/>
  <c r="H5" i="5"/>
  <c r="G5" i="5"/>
  <c r="E5" i="5"/>
  <c r="D5" i="5"/>
  <c r="C5" i="5"/>
  <c r="B13" i="5" s="1"/>
  <c r="B5" i="5"/>
  <c r="U4" i="5"/>
  <c r="R12" i="5" s="1"/>
  <c r="T4" i="5"/>
  <c r="O4" i="5"/>
  <c r="Q12" i="5" s="1"/>
  <c r="N4" i="5"/>
  <c r="K4" i="5"/>
  <c r="J4" i="5"/>
  <c r="H4" i="5"/>
  <c r="G4" i="5"/>
  <c r="E4" i="5"/>
  <c r="C12" i="5" s="1"/>
  <c r="D4" i="5"/>
  <c r="C4" i="5"/>
  <c r="B4" i="5"/>
  <c r="U3" i="5"/>
  <c r="R11" i="5" s="1"/>
  <c r="T3" i="5"/>
  <c r="O3" i="5"/>
  <c r="Q11" i="5" s="1"/>
  <c r="N3" i="5"/>
  <c r="K3" i="5"/>
  <c r="J3" i="5"/>
  <c r="H3" i="5"/>
  <c r="G3" i="5"/>
  <c r="E3" i="5"/>
  <c r="D3" i="5"/>
  <c r="C3" i="5"/>
  <c r="B11" i="5" s="1"/>
  <c r="B3" i="5"/>
  <c r="Q1001" i="2"/>
  <c r="L1001" i="2"/>
  <c r="G1001" i="2"/>
  <c r="E1001" i="2"/>
  <c r="C1001" i="2"/>
  <c r="Q1000" i="2"/>
  <c r="L1000" i="2"/>
  <c r="G1000" i="2"/>
  <c r="E1000" i="2"/>
  <c r="C1000" i="2"/>
  <c r="Q999" i="2"/>
  <c r="L999" i="2"/>
  <c r="G999" i="2"/>
  <c r="E999" i="2"/>
  <c r="C999" i="2"/>
  <c r="Q998" i="2"/>
  <c r="L998" i="2"/>
  <c r="G998" i="2"/>
  <c r="E998" i="2"/>
  <c r="C998" i="2"/>
  <c r="Q997" i="2"/>
  <c r="L997" i="2"/>
  <c r="G997" i="2"/>
  <c r="E997" i="2"/>
  <c r="C997" i="2"/>
  <c r="Q996" i="2"/>
  <c r="L996" i="2"/>
  <c r="G996" i="2"/>
  <c r="E996" i="2"/>
  <c r="C996" i="2"/>
  <c r="Q995" i="2"/>
  <c r="L995" i="2"/>
  <c r="G995" i="2"/>
  <c r="E995" i="2"/>
  <c r="C995" i="2"/>
  <c r="Q994" i="2"/>
  <c r="L994" i="2"/>
  <c r="G994" i="2"/>
  <c r="E994" i="2"/>
  <c r="C994" i="2"/>
  <c r="Q993" i="2"/>
  <c r="L993" i="2"/>
  <c r="G993" i="2"/>
  <c r="E993" i="2"/>
  <c r="C993" i="2"/>
  <c r="Q992" i="2"/>
  <c r="L992" i="2"/>
  <c r="G992" i="2"/>
  <c r="E992" i="2"/>
  <c r="C992" i="2"/>
  <c r="Q991" i="2"/>
  <c r="L991" i="2"/>
  <c r="G991" i="2"/>
  <c r="E991" i="2"/>
  <c r="C991" i="2"/>
  <c r="Q990" i="2"/>
  <c r="L990" i="2"/>
  <c r="G990" i="2"/>
  <c r="E990" i="2"/>
  <c r="C990" i="2"/>
  <c r="Q989" i="2"/>
  <c r="L989" i="2"/>
  <c r="G989" i="2"/>
  <c r="E989" i="2"/>
  <c r="C989" i="2"/>
  <c r="Q988" i="2"/>
  <c r="L988" i="2"/>
  <c r="G988" i="2"/>
  <c r="E988" i="2"/>
  <c r="C988" i="2"/>
  <c r="Q987" i="2"/>
  <c r="L987" i="2"/>
  <c r="G987" i="2"/>
  <c r="E987" i="2"/>
  <c r="C987" i="2"/>
  <c r="Q986" i="2"/>
  <c r="L986" i="2"/>
  <c r="G986" i="2"/>
  <c r="E986" i="2"/>
  <c r="C986" i="2"/>
  <c r="Q985" i="2"/>
  <c r="L985" i="2"/>
  <c r="G985" i="2"/>
  <c r="E985" i="2"/>
  <c r="C985" i="2"/>
  <c r="Q984" i="2"/>
  <c r="L984" i="2"/>
  <c r="G984" i="2"/>
  <c r="E984" i="2"/>
  <c r="C984" i="2"/>
  <c r="Q983" i="2"/>
  <c r="L983" i="2"/>
  <c r="G983" i="2"/>
  <c r="E983" i="2"/>
  <c r="C983" i="2"/>
  <c r="Q982" i="2"/>
  <c r="L982" i="2"/>
  <c r="G982" i="2"/>
  <c r="E982" i="2"/>
  <c r="C982" i="2"/>
  <c r="Q981" i="2"/>
  <c r="L981" i="2"/>
  <c r="G981" i="2"/>
  <c r="E981" i="2"/>
  <c r="C981" i="2"/>
  <c r="Q980" i="2"/>
  <c r="L980" i="2"/>
  <c r="G980" i="2"/>
  <c r="E980" i="2"/>
  <c r="C980" i="2"/>
  <c r="Q979" i="2"/>
  <c r="L979" i="2"/>
  <c r="G979" i="2"/>
  <c r="E979" i="2"/>
  <c r="C979" i="2"/>
  <c r="Q978" i="2"/>
  <c r="L978" i="2"/>
  <c r="G978" i="2"/>
  <c r="E978" i="2"/>
  <c r="C978" i="2"/>
  <c r="Q977" i="2"/>
  <c r="L977" i="2"/>
  <c r="G977" i="2"/>
  <c r="E977" i="2"/>
  <c r="C977" i="2"/>
  <c r="Q976" i="2"/>
  <c r="L976" i="2"/>
  <c r="G976" i="2"/>
  <c r="E976" i="2"/>
  <c r="C976" i="2"/>
  <c r="Q975" i="2"/>
  <c r="L975" i="2"/>
  <c r="G975" i="2"/>
  <c r="E975" i="2"/>
  <c r="C975" i="2"/>
  <c r="Q974" i="2"/>
  <c r="L974" i="2"/>
  <c r="G974" i="2"/>
  <c r="E974" i="2"/>
  <c r="C974" i="2"/>
  <c r="Q973" i="2"/>
  <c r="L973" i="2"/>
  <c r="G973" i="2"/>
  <c r="E973" i="2"/>
  <c r="C973" i="2"/>
  <c r="Q972" i="2"/>
  <c r="L972" i="2"/>
  <c r="G972" i="2"/>
  <c r="E972" i="2"/>
  <c r="C972" i="2"/>
  <c r="Q971" i="2"/>
  <c r="L971" i="2"/>
  <c r="G971" i="2"/>
  <c r="E971" i="2"/>
  <c r="C971" i="2"/>
  <c r="Q970" i="2"/>
  <c r="L970" i="2"/>
  <c r="G970" i="2"/>
  <c r="E970" i="2"/>
  <c r="C970" i="2"/>
  <c r="Q969" i="2"/>
  <c r="L969" i="2"/>
  <c r="G969" i="2"/>
  <c r="E969" i="2"/>
  <c r="C969" i="2"/>
  <c r="Q968" i="2"/>
  <c r="L968" i="2"/>
  <c r="G968" i="2"/>
  <c r="E968" i="2"/>
  <c r="C968" i="2"/>
  <c r="Q967" i="2"/>
  <c r="L967" i="2"/>
  <c r="G967" i="2"/>
  <c r="E967" i="2"/>
  <c r="C967" i="2"/>
  <c r="Q966" i="2"/>
  <c r="L966" i="2"/>
  <c r="G966" i="2"/>
  <c r="E966" i="2"/>
  <c r="C966" i="2"/>
  <c r="Q965" i="2"/>
  <c r="L965" i="2"/>
  <c r="G965" i="2"/>
  <c r="E965" i="2"/>
  <c r="C965" i="2"/>
  <c r="Q964" i="2"/>
  <c r="L964" i="2"/>
  <c r="G964" i="2"/>
  <c r="E964" i="2"/>
  <c r="C964" i="2"/>
  <c r="Q963" i="2"/>
  <c r="L963" i="2"/>
  <c r="G963" i="2"/>
  <c r="E963" i="2"/>
  <c r="C963" i="2"/>
  <c r="Q962" i="2"/>
  <c r="L962" i="2"/>
  <c r="G962" i="2"/>
  <c r="E962" i="2"/>
  <c r="C962" i="2"/>
  <c r="Q961" i="2"/>
  <c r="L961" i="2"/>
  <c r="G961" i="2"/>
  <c r="E961" i="2"/>
  <c r="C961" i="2"/>
  <c r="Q960" i="2"/>
  <c r="L960" i="2"/>
  <c r="G960" i="2"/>
  <c r="E960" i="2"/>
  <c r="C960" i="2"/>
  <c r="Q959" i="2"/>
  <c r="L959" i="2"/>
  <c r="G959" i="2"/>
  <c r="E959" i="2"/>
  <c r="C959" i="2"/>
  <c r="Q958" i="2"/>
  <c r="L958" i="2"/>
  <c r="G958" i="2"/>
  <c r="E958" i="2"/>
  <c r="C958" i="2"/>
  <c r="Q957" i="2"/>
  <c r="L957" i="2"/>
  <c r="G957" i="2"/>
  <c r="E957" i="2"/>
  <c r="C957" i="2"/>
  <c r="Q956" i="2"/>
  <c r="L956" i="2"/>
  <c r="G956" i="2"/>
  <c r="E956" i="2"/>
  <c r="C956" i="2"/>
  <c r="Q955" i="2"/>
  <c r="L955" i="2"/>
  <c r="G955" i="2"/>
  <c r="E955" i="2"/>
  <c r="C955" i="2"/>
  <c r="Q954" i="2"/>
  <c r="L954" i="2"/>
  <c r="G954" i="2"/>
  <c r="E954" i="2"/>
  <c r="C954" i="2"/>
  <c r="Q953" i="2"/>
  <c r="L953" i="2"/>
  <c r="G953" i="2"/>
  <c r="E953" i="2"/>
  <c r="C953" i="2"/>
  <c r="Q952" i="2"/>
  <c r="L952" i="2"/>
  <c r="G952" i="2"/>
  <c r="E952" i="2"/>
  <c r="C952" i="2"/>
  <c r="Q951" i="2"/>
  <c r="L951" i="2"/>
  <c r="G951" i="2"/>
  <c r="E951" i="2"/>
  <c r="C951" i="2"/>
  <c r="Q950" i="2"/>
  <c r="L950" i="2"/>
  <c r="G950" i="2"/>
  <c r="E950" i="2"/>
  <c r="C950" i="2"/>
  <c r="Q949" i="2"/>
  <c r="L949" i="2"/>
  <c r="G949" i="2"/>
  <c r="E949" i="2"/>
  <c r="C949" i="2"/>
  <c r="Q948" i="2"/>
  <c r="L948" i="2"/>
  <c r="G948" i="2"/>
  <c r="E948" i="2"/>
  <c r="C948" i="2"/>
  <c r="Q947" i="2"/>
  <c r="L947" i="2"/>
  <c r="G947" i="2"/>
  <c r="E947" i="2"/>
  <c r="C947" i="2"/>
  <c r="Q946" i="2"/>
  <c r="L946" i="2"/>
  <c r="G946" i="2"/>
  <c r="E946" i="2"/>
  <c r="C946" i="2"/>
  <c r="Q945" i="2"/>
  <c r="L945" i="2"/>
  <c r="G945" i="2"/>
  <c r="E945" i="2"/>
  <c r="C945" i="2"/>
  <c r="Q944" i="2"/>
  <c r="L944" i="2"/>
  <c r="G944" i="2"/>
  <c r="E944" i="2"/>
  <c r="C944" i="2"/>
  <c r="Q943" i="2"/>
  <c r="L943" i="2"/>
  <c r="G943" i="2"/>
  <c r="E943" i="2"/>
  <c r="C943" i="2"/>
  <c r="Q942" i="2"/>
  <c r="L942" i="2"/>
  <c r="G942" i="2"/>
  <c r="E942" i="2"/>
  <c r="C942" i="2"/>
  <c r="Q941" i="2"/>
  <c r="L941" i="2"/>
  <c r="G941" i="2"/>
  <c r="E941" i="2"/>
  <c r="C941" i="2"/>
  <c r="Q940" i="2"/>
  <c r="L940" i="2"/>
  <c r="G940" i="2"/>
  <c r="E940" i="2"/>
  <c r="C940" i="2"/>
  <c r="Q939" i="2"/>
  <c r="L939" i="2"/>
  <c r="G939" i="2"/>
  <c r="E939" i="2"/>
  <c r="C939" i="2"/>
  <c r="Q938" i="2"/>
  <c r="L938" i="2"/>
  <c r="G938" i="2"/>
  <c r="E938" i="2"/>
  <c r="C938" i="2"/>
  <c r="Q937" i="2"/>
  <c r="L937" i="2"/>
  <c r="G937" i="2"/>
  <c r="E937" i="2"/>
  <c r="C937" i="2"/>
  <c r="Q936" i="2"/>
  <c r="L936" i="2"/>
  <c r="G936" i="2"/>
  <c r="E936" i="2"/>
  <c r="C936" i="2"/>
  <c r="Q935" i="2"/>
  <c r="L935" i="2"/>
  <c r="G935" i="2"/>
  <c r="E935" i="2"/>
  <c r="C935" i="2"/>
  <c r="Q934" i="2"/>
  <c r="L934" i="2"/>
  <c r="G934" i="2"/>
  <c r="E934" i="2"/>
  <c r="C934" i="2"/>
  <c r="Q933" i="2"/>
  <c r="L933" i="2"/>
  <c r="G933" i="2"/>
  <c r="E933" i="2"/>
  <c r="C933" i="2"/>
  <c r="Q932" i="2"/>
  <c r="L932" i="2"/>
  <c r="G932" i="2"/>
  <c r="E932" i="2"/>
  <c r="C932" i="2"/>
  <c r="Q931" i="2"/>
  <c r="L931" i="2"/>
  <c r="G931" i="2"/>
  <c r="E931" i="2"/>
  <c r="C931" i="2"/>
  <c r="Q930" i="2"/>
  <c r="L930" i="2"/>
  <c r="G930" i="2"/>
  <c r="E930" i="2"/>
  <c r="C930" i="2"/>
  <c r="Q929" i="2"/>
  <c r="L929" i="2"/>
  <c r="G929" i="2"/>
  <c r="E929" i="2"/>
  <c r="C929" i="2"/>
  <c r="Q928" i="2"/>
  <c r="L928" i="2"/>
  <c r="G928" i="2"/>
  <c r="E928" i="2"/>
  <c r="C928" i="2"/>
  <c r="Q927" i="2"/>
  <c r="L927" i="2"/>
  <c r="G927" i="2"/>
  <c r="E927" i="2"/>
  <c r="C927" i="2"/>
  <c r="Q926" i="2"/>
  <c r="L926" i="2"/>
  <c r="G926" i="2"/>
  <c r="E926" i="2"/>
  <c r="C926" i="2"/>
  <c r="Q925" i="2"/>
  <c r="L925" i="2"/>
  <c r="G925" i="2"/>
  <c r="E925" i="2"/>
  <c r="C925" i="2"/>
  <c r="Q924" i="2"/>
  <c r="L924" i="2"/>
  <c r="G924" i="2"/>
  <c r="E924" i="2"/>
  <c r="C924" i="2"/>
  <c r="Q923" i="2"/>
  <c r="L923" i="2"/>
  <c r="G923" i="2"/>
  <c r="E923" i="2"/>
  <c r="C923" i="2"/>
  <c r="Q922" i="2"/>
  <c r="L922" i="2"/>
  <c r="G922" i="2"/>
  <c r="E922" i="2"/>
  <c r="C922" i="2"/>
  <c r="Q921" i="2"/>
  <c r="L921" i="2"/>
  <c r="G921" i="2"/>
  <c r="E921" i="2"/>
  <c r="C921" i="2"/>
  <c r="Q920" i="2"/>
  <c r="L920" i="2"/>
  <c r="G920" i="2"/>
  <c r="E920" i="2"/>
  <c r="C920" i="2"/>
  <c r="Q919" i="2"/>
  <c r="L919" i="2"/>
  <c r="G919" i="2"/>
  <c r="E919" i="2"/>
  <c r="C919" i="2"/>
  <c r="Q918" i="2"/>
  <c r="L918" i="2"/>
  <c r="G918" i="2"/>
  <c r="E918" i="2"/>
  <c r="C918" i="2"/>
  <c r="Q917" i="2"/>
  <c r="L917" i="2"/>
  <c r="G917" i="2"/>
  <c r="E917" i="2"/>
  <c r="C917" i="2"/>
  <c r="Q916" i="2"/>
  <c r="L916" i="2"/>
  <c r="G916" i="2"/>
  <c r="E916" i="2"/>
  <c r="C916" i="2"/>
  <c r="Q915" i="2"/>
  <c r="L915" i="2"/>
  <c r="G915" i="2"/>
  <c r="E915" i="2"/>
  <c r="C915" i="2"/>
  <c r="Q914" i="2"/>
  <c r="L914" i="2"/>
  <c r="G914" i="2"/>
  <c r="E914" i="2"/>
  <c r="C914" i="2"/>
  <c r="Q913" i="2"/>
  <c r="L913" i="2"/>
  <c r="G913" i="2"/>
  <c r="E913" i="2"/>
  <c r="C913" i="2"/>
  <c r="Q912" i="2"/>
  <c r="L912" i="2"/>
  <c r="G912" i="2"/>
  <c r="E912" i="2"/>
  <c r="C912" i="2"/>
  <c r="Q911" i="2"/>
  <c r="L911" i="2"/>
  <c r="G911" i="2"/>
  <c r="E911" i="2"/>
  <c r="C911" i="2"/>
  <c r="Q910" i="2"/>
  <c r="L910" i="2"/>
  <c r="G910" i="2"/>
  <c r="E910" i="2"/>
  <c r="C910" i="2"/>
  <c r="Q909" i="2"/>
  <c r="L909" i="2"/>
  <c r="G909" i="2"/>
  <c r="E909" i="2"/>
  <c r="C909" i="2"/>
  <c r="Q908" i="2"/>
  <c r="L908" i="2"/>
  <c r="G908" i="2"/>
  <c r="E908" i="2"/>
  <c r="C908" i="2"/>
  <c r="Q907" i="2"/>
  <c r="L907" i="2"/>
  <c r="G907" i="2"/>
  <c r="E907" i="2"/>
  <c r="C907" i="2"/>
  <c r="Q906" i="2"/>
  <c r="L906" i="2"/>
  <c r="G906" i="2"/>
  <c r="E906" i="2"/>
  <c r="C906" i="2"/>
  <c r="Q905" i="2"/>
  <c r="L905" i="2"/>
  <c r="G905" i="2"/>
  <c r="E905" i="2"/>
  <c r="C905" i="2"/>
  <c r="Q904" i="2"/>
  <c r="L904" i="2"/>
  <c r="G904" i="2"/>
  <c r="E904" i="2"/>
  <c r="C904" i="2"/>
  <c r="Q903" i="2"/>
  <c r="L903" i="2"/>
  <c r="G903" i="2"/>
  <c r="E903" i="2"/>
  <c r="C903" i="2"/>
  <c r="Q902" i="2"/>
  <c r="L902" i="2"/>
  <c r="G902" i="2"/>
  <c r="E902" i="2"/>
  <c r="C902" i="2"/>
  <c r="Q901" i="2"/>
  <c r="L901" i="2"/>
  <c r="G901" i="2"/>
  <c r="E901" i="2"/>
  <c r="C901" i="2"/>
  <c r="Q900" i="2"/>
  <c r="L900" i="2"/>
  <c r="G900" i="2"/>
  <c r="E900" i="2"/>
  <c r="C900" i="2"/>
  <c r="Q899" i="2"/>
  <c r="L899" i="2"/>
  <c r="G899" i="2"/>
  <c r="E899" i="2"/>
  <c r="C899" i="2"/>
  <c r="Q898" i="2"/>
  <c r="L898" i="2"/>
  <c r="G898" i="2"/>
  <c r="E898" i="2"/>
  <c r="C898" i="2"/>
  <c r="Q897" i="2"/>
  <c r="L897" i="2"/>
  <c r="G897" i="2"/>
  <c r="E897" i="2"/>
  <c r="C897" i="2"/>
  <c r="Q896" i="2"/>
  <c r="L896" i="2"/>
  <c r="G896" i="2"/>
  <c r="E896" i="2"/>
  <c r="C896" i="2"/>
  <c r="Q895" i="2"/>
  <c r="L895" i="2"/>
  <c r="G895" i="2"/>
  <c r="E895" i="2"/>
  <c r="C895" i="2"/>
  <c r="Q894" i="2"/>
  <c r="L894" i="2"/>
  <c r="G894" i="2"/>
  <c r="E894" i="2"/>
  <c r="C894" i="2"/>
  <c r="Q893" i="2"/>
  <c r="L893" i="2"/>
  <c r="G893" i="2"/>
  <c r="E893" i="2"/>
  <c r="C893" i="2"/>
  <c r="Q892" i="2"/>
  <c r="L892" i="2"/>
  <c r="G892" i="2"/>
  <c r="E892" i="2"/>
  <c r="C892" i="2"/>
  <c r="Q891" i="2"/>
  <c r="L891" i="2"/>
  <c r="G891" i="2"/>
  <c r="E891" i="2"/>
  <c r="C891" i="2"/>
  <c r="Q890" i="2"/>
  <c r="L890" i="2"/>
  <c r="G890" i="2"/>
  <c r="E890" i="2"/>
  <c r="C890" i="2"/>
  <c r="Q889" i="2"/>
  <c r="L889" i="2"/>
  <c r="G889" i="2"/>
  <c r="E889" i="2"/>
  <c r="C889" i="2"/>
  <c r="Q888" i="2"/>
  <c r="L888" i="2"/>
  <c r="G888" i="2"/>
  <c r="E888" i="2"/>
  <c r="C888" i="2"/>
  <c r="Q887" i="2"/>
  <c r="L887" i="2"/>
  <c r="G887" i="2"/>
  <c r="E887" i="2"/>
  <c r="C887" i="2"/>
  <c r="Q886" i="2"/>
  <c r="L886" i="2"/>
  <c r="G886" i="2"/>
  <c r="E886" i="2"/>
  <c r="C886" i="2"/>
  <c r="Q885" i="2"/>
  <c r="L885" i="2"/>
  <c r="G885" i="2"/>
  <c r="E885" i="2"/>
  <c r="C885" i="2"/>
  <c r="Q884" i="2"/>
  <c r="L884" i="2"/>
  <c r="G884" i="2"/>
  <c r="E884" i="2"/>
  <c r="C884" i="2"/>
  <c r="Q883" i="2"/>
  <c r="L883" i="2"/>
  <c r="G883" i="2"/>
  <c r="E883" i="2"/>
  <c r="C883" i="2"/>
  <c r="Q882" i="2"/>
  <c r="L882" i="2"/>
  <c r="G882" i="2"/>
  <c r="E882" i="2"/>
  <c r="C882" i="2"/>
  <c r="Q881" i="2"/>
  <c r="L881" i="2"/>
  <c r="G881" i="2"/>
  <c r="E881" i="2"/>
  <c r="C881" i="2"/>
  <c r="Q880" i="2"/>
  <c r="L880" i="2"/>
  <c r="G880" i="2"/>
  <c r="E880" i="2"/>
  <c r="C880" i="2"/>
  <c r="Q879" i="2"/>
  <c r="L879" i="2"/>
  <c r="G879" i="2"/>
  <c r="E879" i="2"/>
  <c r="C879" i="2"/>
  <c r="Q878" i="2"/>
  <c r="L878" i="2"/>
  <c r="G878" i="2"/>
  <c r="E878" i="2"/>
  <c r="C878" i="2"/>
  <c r="Q877" i="2"/>
  <c r="L877" i="2"/>
  <c r="G877" i="2"/>
  <c r="E877" i="2"/>
  <c r="C877" i="2"/>
  <c r="Q876" i="2"/>
  <c r="L876" i="2"/>
  <c r="G876" i="2"/>
  <c r="E876" i="2"/>
  <c r="C876" i="2"/>
  <c r="Q875" i="2"/>
  <c r="L875" i="2"/>
  <c r="G875" i="2"/>
  <c r="E875" i="2"/>
  <c r="C875" i="2"/>
  <c r="Q874" i="2"/>
  <c r="L874" i="2"/>
  <c r="G874" i="2"/>
  <c r="E874" i="2"/>
  <c r="C874" i="2"/>
  <c r="Q873" i="2"/>
  <c r="L873" i="2"/>
  <c r="G873" i="2"/>
  <c r="E873" i="2"/>
  <c r="C873" i="2"/>
  <c r="Q872" i="2"/>
  <c r="L872" i="2"/>
  <c r="G872" i="2"/>
  <c r="E872" i="2"/>
  <c r="C872" i="2"/>
  <c r="Q871" i="2"/>
  <c r="L871" i="2"/>
  <c r="G871" i="2"/>
  <c r="E871" i="2"/>
  <c r="C871" i="2"/>
  <c r="Q870" i="2"/>
  <c r="L870" i="2"/>
  <c r="G870" i="2"/>
  <c r="E870" i="2"/>
  <c r="C870" i="2"/>
  <c r="Q869" i="2"/>
  <c r="L869" i="2"/>
  <c r="G869" i="2"/>
  <c r="E869" i="2"/>
  <c r="C869" i="2"/>
  <c r="Q868" i="2"/>
  <c r="L868" i="2"/>
  <c r="G868" i="2"/>
  <c r="E868" i="2"/>
  <c r="C868" i="2"/>
  <c r="Q867" i="2"/>
  <c r="L867" i="2"/>
  <c r="G867" i="2"/>
  <c r="E867" i="2"/>
  <c r="C867" i="2"/>
  <c r="Q866" i="2"/>
  <c r="L866" i="2"/>
  <c r="G866" i="2"/>
  <c r="E866" i="2"/>
  <c r="C866" i="2"/>
  <c r="Q865" i="2"/>
  <c r="L865" i="2"/>
  <c r="G865" i="2"/>
  <c r="E865" i="2"/>
  <c r="C865" i="2"/>
  <c r="Q864" i="2"/>
  <c r="L864" i="2"/>
  <c r="G864" i="2"/>
  <c r="E864" i="2"/>
  <c r="C864" i="2"/>
  <c r="Q863" i="2"/>
  <c r="L863" i="2"/>
  <c r="G863" i="2"/>
  <c r="E863" i="2"/>
  <c r="C863" i="2"/>
  <c r="Q862" i="2"/>
  <c r="L862" i="2"/>
  <c r="G862" i="2"/>
  <c r="E862" i="2"/>
  <c r="C862" i="2"/>
  <c r="Q861" i="2"/>
  <c r="L861" i="2"/>
  <c r="G861" i="2"/>
  <c r="E861" i="2"/>
  <c r="C861" i="2"/>
  <c r="Q860" i="2"/>
  <c r="L860" i="2"/>
  <c r="G860" i="2"/>
  <c r="E860" i="2"/>
  <c r="C860" i="2"/>
  <c r="Q859" i="2"/>
  <c r="L859" i="2"/>
  <c r="G859" i="2"/>
  <c r="E859" i="2"/>
  <c r="C859" i="2"/>
  <c r="Q858" i="2"/>
  <c r="L858" i="2"/>
  <c r="G858" i="2"/>
  <c r="E858" i="2"/>
  <c r="C858" i="2"/>
  <c r="Q857" i="2"/>
  <c r="L857" i="2"/>
  <c r="G857" i="2"/>
  <c r="E857" i="2"/>
  <c r="C857" i="2"/>
  <c r="Q856" i="2"/>
  <c r="L856" i="2"/>
  <c r="G856" i="2"/>
  <c r="E856" i="2"/>
  <c r="C856" i="2"/>
  <c r="Q855" i="2"/>
  <c r="L855" i="2"/>
  <c r="G855" i="2"/>
  <c r="E855" i="2"/>
  <c r="C855" i="2"/>
  <c r="Q854" i="2"/>
  <c r="L854" i="2"/>
  <c r="G854" i="2"/>
  <c r="E854" i="2"/>
  <c r="C854" i="2"/>
  <c r="Q853" i="2"/>
  <c r="L853" i="2"/>
  <c r="G853" i="2"/>
  <c r="E853" i="2"/>
  <c r="C853" i="2"/>
  <c r="Q852" i="2"/>
  <c r="L852" i="2"/>
  <c r="G852" i="2"/>
  <c r="E852" i="2"/>
  <c r="C852" i="2"/>
  <c r="Q851" i="2"/>
  <c r="L851" i="2"/>
  <c r="G851" i="2"/>
  <c r="E851" i="2"/>
  <c r="C851" i="2"/>
  <c r="Q850" i="2"/>
  <c r="L850" i="2"/>
  <c r="G850" i="2"/>
  <c r="E850" i="2"/>
  <c r="C850" i="2"/>
  <c r="Q849" i="2"/>
  <c r="L849" i="2"/>
  <c r="G849" i="2"/>
  <c r="E849" i="2"/>
  <c r="C849" i="2"/>
  <c r="Q848" i="2"/>
  <c r="L848" i="2"/>
  <c r="G848" i="2"/>
  <c r="E848" i="2"/>
  <c r="C848" i="2"/>
  <c r="Q847" i="2"/>
  <c r="L847" i="2"/>
  <c r="G847" i="2"/>
  <c r="E847" i="2"/>
  <c r="C847" i="2"/>
  <c r="Q846" i="2"/>
  <c r="L846" i="2"/>
  <c r="G846" i="2"/>
  <c r="E846" i="2"/>
  <c r="C846" i="2"/>
  <c r="Q845" i="2"/>
  <c r="L845" i="2"/>
  <c r="G845" i="2"/>
  <c r="E845" i="2"/>
  <c r="C845" i="2"/>
  <c r="Q844" i="2"/>
  <c r="L844" i="2"/>
  <c r="G844" i="2"/>
  <c r="E844" i="2"/>
  <c r="C844" i="2"/>
  <c r="Q843" i="2"/>
  <c r="L843" i="2"/>
  <c r="G843" i="2"/>
  <c r="E843" i="2"/>
  <c r="C843" i="2"/>
  <c r="Q842" i="2"/>
  <c r="L842" i="2"/>
  <c r="G842" i="2"/>
  <c r="E842" i="2"/>
  <c r="C842" i="2"/>
  <c r="Q841" i="2"/>
  <c r="L841" i="2"/>
  <c r="G841" i="2"/>
  <c r="E841" i="2"/>
  <c r="C841" i="2"/>
  <c r="Q840" i="2"/>
  <c r="L840" i="2"/>
  <c r="G840" i="2"/>
  <c r="E840" i="2"/>
  <c r="C840" i="2"/>
  <c r="Q839" i="2"/>
  <c r="L839" i="2"/>
  <c r="G839" i="2"/>
  <c r="E839" i="2"/>
  <c r="C839" i="2"/>
  <c r="Q838" i="2"/>
  <c r="L838" i="2"/>
  <c r="G838" i="2"/>
  <c r="E838" i="2"/>
  <c r="C838" i="2"/>
  <c r="Q837" i="2"/>
  <c r="L837" i="2"/>
  <c r="G837" i="2"/>
  <c r="E837" i="2"/>
  <c r="C837" i="2"/>
  <c r="Q836" i="2"/>
  <c r="L836" i="2"/>
  <c r="G836" i="2"/>
  <c r="E836" i="2"/>
  <c r="C836" i="2"/>
  <c r="Q835" i="2"/>
  <c r="L835" i="2"/>
  <c r="G835" i="2"/>
  <c r="E835" i="2"/>
  <c r="C835" i="2"/>
  <c r="Q834" i="2"/>
  <c r="L834" i="2"/>
  <c r="G834" i="2"/>
  <c r="E834" i="2"/>
  <c r="C834" i="2"/>
  <c r="Q833" i="2"/>
  <c r="L833" i="2"/>
  <c r="G833" i="2"/>
  <c r="E833" i="2"/>
  <c r="C833" i="2"/>
  <c r="Q832" i="2"/>
  <c r="L832" i="2"/>
  <c r="G832" i="2"/>
  <c r="E832" i="2"/>
  <c r="C832" i="2"/>
  <c r="Q831" i="2"/>
  <c r="L831" i="2"/>
  <c r="G831" i="2"/>
  <c r="E831" i="2"/>
  <c r="C831" i="2"/>
  <c r="Q830" i="2"/>
  <c r="L830" i="2"/>
  <c r="G830" i="2"/>
  <c r="E830" i="2"/>
  <c r="C830" i="2"/>
  <c r="Q829" i="2"/>
  <c r="L829" i="2"/>
  <c r="G829" i="2"/>
  <c r="E829" i="2"/>
  <c r="C829" i="2"/>
  <c r="Q828" i="2"/>
  <c r="L828" i="2"/>
  <c r="G828" i="2"/>
  <c r="E828" i="2"/>
  <c r="C828" i="2"/>
  <c r="Q827" i="2"/>
  <c r="L827" i="2"/>
  <c r="G827" i="2"/>
  <c r="E827" i="2"/>
  <c r="C827" i="2"/>
  <c r="Q826" i="2"/>
  <c r="L826" i="2"/>
  <c r="G826" i="2"/>
  <c r="E826" i="2"/>
  <c r="C826" i="2"/>
  <c r="Q825" i="2"/>
  <c r="L825" i="2"/>
  <c r="G825" i="2"/>
  <c r="E825" i="2"/>
  <c r="C825" i="2"/>
  <c r="Q824" i="2"/>
  <c r="L824" i="2"/>
  <c r="G824" i="2"/>
  <c r="E824" i="2"/>
  <c r="C824" i="2"/>
  <c r="Q823" i="2"/>
  <c r="L823" i="2"/>
  <c r="G823" i="2"/>
  <c r="E823" i="2"/>
  <c r="C823" i="2"/>
  <c r="Q822" i="2"/>
  <c r="L822" i="2"/>
  <c r="G822" i="2"/>
  <c r="E822" i="2"/>
  <c r="C822" i="2"/>
  <c r="Q821" i="2"/>
  <c r="L821" i="2"/>
  <c r="G821" i="2"/>
  <c r="E821" i="2"/>
  <c r="C821" i="2"/>
  <c r="Q820" i="2"/>
  <c r="L820" i="2"/>
  <c r="G820" i="2"/>
  <c r="E820" i="2"/>
  <c r="C820" i="2"/>
  <c r="Q819" i="2"/>
  <c r="L819" i="2"/>
  <c r="G819" i="2"/>
  <c r="E819" i="2"/>
  <c r="C819" i="2"/>
  <c r="Q818" i="2"/>
  <c r="L818" i="2"/>
  <c r="G818" i="2"/>
  <c r="E818" i="2"/>
  <c r="C818" i="2"/>
  <c r="Q817" i="2"/>
  <c r="L817" i="2"/>
  <c r="G817" i="2"/>
  <c r="E817" i="2"/>
  <c r="C817" i="2"/>
  <c r="Q816" i="2"/>
  <c r="L816" i="2"/>
  <c r="G816" i="2"/>
  <c r="E816" i="2"/>
  <c r="C816" i="2"/>
  <c r="Q815" i="2"/>
  <c r="L815" i="2"/>
  <c r="G815" i="2"/>
  <c r="E815" i="2"/>
  <c r="C815" i="2"/>
  <c r="Q814" i="2"/>
  <c r="L814" i="2"/>
  <c r="G814" i="2"/>
  <c r="E814" i="2"/>
  <c r="C814" i="2"/>
  <c r="Q813" i="2"/>
  <c r="L813" i="2"/>
  <c r="G813" i="2"/>
  <c r="E813" i="2"/>
  <c r="C813" i="2"/>
  <c r="Q812" i="2"/>
  <c r="L812" i="2"/>
  <c r="G812" i="2"/>
  <c r="E812" i="2"/>
  <c r="C812" i="2"/>
  <c r="Q811" i="2"/>
  <c r="L811" i="2"/>
  <c r="G811" i="2"/>
  <c r="E811" i="2"/>
  <c r="C811" i="2"/>
  <c r="Q810" i="2"/>
  <c r="L810" i="2"/>
  <c r="G810" i="2"/>
  <c r="E810" i="2"/>
  <c r="C810" i="2"/>
  <c r="Q809" i="2"/>
  <c r="L809" i="2"/>
  <c r="G809" i="2"/>
  <c r="E809" i="2"/>
  <c r="C809" i="2"/>
  <c r="Q808" i="2"/>
  <c r="L808" i="2"/>
  <c r="G808" i="2"/>
  <c r="E808" i="2"/>
  <c r="C808" i="2"/>
  <c r="Q807" i="2"/>
  <c r="L807" i="2"/>
  <c r="G807" i="2"/>
  <c r="E807" i="2"/>
  <c r="C807" i="2"/>
  <c r="Q806" i="2"/>
  <c r="L806" i="2"/>
  <c r="G806" i="2"/>
  <c r="E806" i="2"/>
  <c r="C806" i="2"/>
  <c r="Q805" i="2"/>
  <c r="L805" i="2"/>
  <c r="G805" i="2"/>
  <c r="E805" i="2"/>
  <c r="C805" i="2"/>
  <c r="Q804" i="2"/>
  <c r="L804" i="2"/>
  <c r="G804" i="2"/>
  <c r="E804" i="2"/>
  <c r="C804" i="2"/>
  <c r="Q803" i="2"/>
  <c r="L803" i="2"/>
  <c r="G803" i="2"/>
  <c r="E803" i="2"/>
  <c r="C803" i="2"/>
  <c r="Q802" i="2"/>
  <c r="L802" i="2"/>
  <c r="G802" i="2"/>
  <c r="E802" i="2"/>
  <c r="C802" i="2"/>
  <c r="Q801" i="2"/>
  <c r="L801" i="2"/>
  <c r="G801" i="2"/>
  <c r="E801" i="2"/>
  <c r="C801" i="2"/>
  <c r="Q800" i="2"/>
  <c r="L800" i="2"/>
  <c r="G800" i="2"/>
  <c r="E800" i="2"/>
  <c r="C800" i="2"/>
  <c r="Q799" i="2"/>
  <c r="L799" i="2"/>
  <c r="G799" i="2"/>
  <c r="E799" i="2"/>
  <c r="C799" i="2"/>
  <c r="Q798" i="2"/>
  <c r="L798" i="2"/>
  <c r="G798" i="2"/>
  <c r="E798" i="2"/>
  <c r="C798" i="2"/>
  <c r="Q797" i="2"/>
  <c r="L797" i="2"/>
  <c r="G797" i="2"/>
  <c r="E797" i="2"/>
  <c r="C797" i="2"/>
  <c r="Q796" i="2"/>
  <c r="L796" i="2"/>
  <c r="G796" i="2"/>
  <c r="E796" i="2"/>
  <c r="C796" i="2"/>
  <c r="Q795" i="2"/>
  <c r="L795" i="2"/>
  <c r="G795" i="2"/>
  <c r="E795" i="2"/>
  <c r="C795" i="2"/>
  <c r="Q794" i="2"/>
  <c r="L794" i="2"/>
  <c r="G794" i="2"/>
  <c r="E794" i="2"/>
  <c r="C794" i="2"/>
  <c r="Q793" i="2"/>
  <c r="L793" i="2"/>
  <c r="G793" i="2"/>
  <c r="E793" i="2"/>
  <c r="C793" i="2"/>
  <c r="Q792" i="2"/>
  <c r="L792" i="2"/>
  <c r="G792" i="2"/>
  <c r="E792" i="2"/>
  <c r="C792" i="2"/>
  <c r="Q791" i="2"/>
  <c r="L791" i="2"/>
  <c r="G791" i="2"/>
  <c r="E791" i="2"/>
  <c r="C791" i="2"/>
  <c r="Q790" i="2"/>
  <c r="L790" i="2"/>
  <c r="G790" i="2"/>
  <c r="E790" i="2"/>
  <c r="C790" i="2"/>
  <c r="Q789" i="2"/>
  <c r="L789" i="2"/>
  <c r="G789" i="2"/>
  <c r="E789" i="2"/>
  <c r="C789" i="2"/>
  <c r="Q788" i="2"/>
  <c r="L788" i="2"/>
  <c r="G788" i="2"/>
  <c r="E788" i="2"/>
  <c r="C788" i="2"/>
  <c r="Q787" i="2"/>
  <c r="L787" i="2"/>
  <c r="G787" i="2"/>
  <c r="E787" i="2"/>
  <c r="C787" i="2"/>
  <c r="Q786" i="2"/>
  <c r="L786" i="2"/>
  <c r="G786" i="2"/>
  <c r="E786" i="2"/>
  <c r="C786" i="2"/>
  <c r="Q785" i="2"/>
  <c r="L785" i="2"/>
  <c r="G785" i="2"/>
  <c r="E785" i="2"/>
  <c r="C785" i="2"/>
  <c r="Q784" i="2"/>
  <c r="L784" i="2"/>
  <c r="G784" i="2"/>
  <c r="E784" i="2"/>
  <c r="C784" i="2"/>
  <c r="Q783" i="2"/>
  <c r="L783" i="2"/>
  <c r="G783" i="2"/>
  <c r="E783" i="2"/>
  <c r="C783" i="2"/>
  <c r="Q782" i="2"/>
  <c r="L782" i="2"/>
  <c r="G782" i="2"/>
  <c r="E782" i="2"/>
  <c r="C782" i="2"/>
  <c r="Q781" i="2"/>
  <c r="L781" i="2"/>
  <c r="G781" i="2"/>
  <c r="E781" i="2"/>
  <c r="C781" i="2"/>
  <c r="Q780" i="2"/>
  <c r="L780" i="2"/>
  <c r="G780" i="2"/>
  <c r="E780" i="2"/>
  <c r="C780" i="2"/>
  <c r="Q779" i="2"/>
  <c r="L779" i="2"/>
  <c r="G779" i="2"/>
  <c r="E779" i="2"/>
  <c r="C779" i="2"/>
  <c r="Q778" i="2"/>
  <c r="L778" i="2"/>
  <c r="G778" i="2"/>
  <c r="E778" i="2"/>
  <c r="C778" i="2"/>
  <c r="Q777" i="2"/>
  <c r="L777" i="2"/>
  <c r="G777" i="2"/>
  <c r="E777" i="2"/>
  <c r="C777" i="2"/>
  <c r="Q776" i="2"/>
  <c r="L776" i="2"/>
  <c r="G776" i="2"/>
  <c r="E776" i="2"/>
  <c r="C776" i="2"/>
  <c r="Q775" i="2"/>
  <c r="L775" i="2"/>
  <c r="G775" i="2"/>
  <c r="E775" i="2"/>
  <c r="C775" i="2"/>
  <c r="Q774" i="2"/>
  <c r="L774" i="2"/>
  <c r="G774" i="2"/>
  <c r="E774" i="2"/>
  <c r="C774" i="2"/>
  <c r="Q773" i="2"/>
  <c r="L773" i="2"/>
  <c r="G773" i="2"/>
  <c r="E773" i="2"/>
  <c r="C773" i="2"/>
  <c r="Q772" i="2"/>
  <c r="L772" i="2"/>
  <c r="G772" i="2"/>
  <c r="E772" i="2"/>
  <c r="C772" i="2"/>
  <c r="Q771" i="2"/>
  <c r="L771" i="2"/>
  <c r="G771" i="2"/>
  <c r="E771" i="2"/>
  <c r="C771" i="2"/>
  <c r="Q770" i="2"/>
  <c r="L770" i="2"/>
  <c r="G770" i="2"/>
  <c r="E770" i="2"/>
  <c r="C770" i="2"/>
  <c r="Q769" i="2"/>
  <c r="L769" i="2"/>
  <c r="G769" i="2"/>
  <c r="E769" i="2"/>
  <c r="C769" i="2"/>
  <c r="Q768" i="2"/>
  <c r="L768" i="2"/>
  <c r="G768" i="2"/>
  <c r="E768" i="2"/>
  <c r="C768" i="2"/>
  <c r="Q767" i="2"/>
  <c r="L767" i="2"/>
  <c r="G767" i="2"/>
  <c r="E767" i="2"/>
  <c r="C767" i="2"/>
  <c r="Q766" i="2"/>
  <c r="L766" i="2"/>
  <c r="G766" i="2"/>
  <c r="E766" i="2"/>
  <c r="C766" i="2"/>
  <c r="Q765" i="2"/>
  <c r="L765" i="2"/>
  <c r="G765" i="2"/>
  <c r="E765" i="2"/>
  <c r="C765" i="2"/>
  <c r="Q764" i="2"/>
  <c r="L764" i="2"/>
  <c r="G764" i="2"/>
  <c r="E764" i="2"/>
  <c r="C764" i="2"/>
  <c r="Q763" i="2"/>
  <c r="L763" i="2"/>
  <c r="G763" i="2"/>
  <c r="E763" i="2"/>
  <c r="C763" i="2"/>
  <c r="Q762" i="2"/>
  <c r="L762" i="2"/>
  <c r="G762" i="2"/>
  <c r="E762" i="2"/>
  <c r="C762" i="2"/>
  <c r="Q761" i="2"/>
  <c r="L761" i="2"/>
  <c r="G761" i="2"/>
  <c r="E761" i="2"/>
  <c r="C761" i="2"/>
  <c r="Q760" i="2"/>
  <c r="L760" i="2"/>
  <c r="G760" i="2"/>
  <c r="E760" i="2"/>
  <c r="C760" i="2"/>
  <c r="Q759" i="2"/>
  <c r="L759" i="2"/>
  <c r="G759" i="2"/>
  <c r="E759" i="2"/>
  <c r="C759" i="2"/>
  <c r="Q758" i="2"/>
  <c r="L758" i="2"/>
  <c r="G758" i="2"/>
  <c r="E758" i="2"/>
  <c r="C758" i="2"/>
  <c r="Q757" i="2"/>
  <c r="L757" i="2"/>
  <c r="G757" i="2"/>
  <c r="E757" i="2"/>
  <c r="C757" i="2"/>
  <c r="Q756" i="2"/>
  <c r="L756" i="2"/>
  <c r="G756" i="2"/>
  <c r="E756" i="2"/>
  <c r="C756" i="2"/>
  <c r="Q755" i="2"/>
  <c r="L755" i="2"/>
  <c r="G755" i="2"/>
  <c r="E755" i="2"/>
  <c r="C755" i="2"/>
  <c r="Q754" i="2"/>
  <c r="L754" i="2"/>
  <c r="G754" i="2"/>
  <c r="E754" i="2"/>
  <c r="C754" i="2"/>
  <c r="Q753" i="2"/>
  <c r="L753" i="2"/>
  <c r="G753" i="2"/>
  <c r="E753" i="2"/>
  <c r="C753" i="2"/>
  <c r="Q752" i="2"/>
  <c r="L752" i="2"/>
  <c r="G752" i="2"/>
  <c r="E752" i="2"/>
  <c r="C752" i="2"/>
  <c r="Q751" i="2"/>
  <c r="L751" i="2"/>
  <c r="G751" i="2"/>
  <c r="E751" i="2"/>
  <c r="C751" i="2"/>
  <c r="Q750" i="2"/>
  <c r="L750" i="2"/>
  <c r="G750" i="2"/>
  <c r="E750" i="2"/>
  <c r="C750" i="2"/>
  <c r="Q749" i="2"/>
  <c r="L749" i="2"/>
  <c r="G749" i="2"/>
  <c r="E749" i="2"/>
  <c r="C749" i="2"/>
  <c r="Q748" i="2"/>
  <c r="L748" i="2"/>
  <c r="G748" i="2"/>
  <c r="E748" i="2"/>
  <c r="C748" i="2"/>
  <c r="Q747" i="2"/>
  <c r="L747" i="2"/>
  <c r="G747" i="2"/>
  <c r="E747" i="2"/>
  <c r="C747" i="2"/>
  <c r="Q746" i="2"/>
  <c r="L746" i="2"/>
  <c r="G746" i="2"/>
  <c r="E746" i="2"/>
  <c r="C746" i="2"/>
  <c r="Q745" i="2"/>
  <c r="L745" i="2"/>
  <c r="G745" i="2"/>
  <c r="E745" i="2"/>
  <c r="C745" i="2"/>
  <c r="Q744" i="2"/>
  <c r="L744" i="2"/>
  <c r="G744" i="2"/>
  <c r="E744" i="2"/>
  <c r="C744" i="2"/>
  <c r="Q743" i="2"/>
  <c r="L743" i="2"/>
  <c r="G743" i="2"/>
  <c r="E743" i="2"/>
  <c r="C743" i="2"/>
  <c r="Q742" i="2"/>
  <c r="L742" i="2"/>
  <c r="G742" i="2"/>
  <c r="E742" i="2"/>
  <c r="C742" i="2"/>
  <c r="Q741" i="2"/>
  <c r="L741" i="2"/>
  <c r="G741" i="2"/>
  <c r="E741" i="2"/>
  <c r="C741" i="2"/>
  <c r="Q740" i="2"/>
  <c r="L740" i="2"/>
  <c r="G740" i="2"/>
  <c r="E740" i="2"/>
  <c r="C740" i="2"/>
  <c r="Q739" i="2"/>
  <c r="L739" i="2"/>
  <c r="G739" i="2"/>
  <c r="E739" i="2"/>
  <c r="C739" i="2"/>
  <c r="Q738" i="2"/>
  <c r="L738" i="2"/>
  <c r="G738" i="2"/>
  <c r="E738" i="2"/>
  <c r="C738" i="2"/>
  <c r="Q737" i="2"/>
  <c r="L737" i="2"/>
  <c r="G737" i="2"/>
  <c r="E737" i="2"/>
  <c r="C737" i="2"/>
  <c r="Q736" i="2"/>
  <c r="L736" i="2"/>
  <c r="G736" i="2"/>
  <c r="E736" i="2"/>
  <c r="C736" i="2"/>
  <c r="Q735" i="2"/>
  <c r="L735" i="2"/>
  <c r="G735" i="2"/>
  <c r="E735" i="2"/>
  <c r="C735" i="2"/>
  <c r="Q734" i="2"/>
  <c r="L734" i="2"/>
  <c r="G734" i="2"/>
  <c r="E734" i="2"/>
  <c r="C734" i="2"/>
  <c r="Q733" i="2"/>
  <c r="L733" i="2"/>
  <c r="G733" i="2"/>
  <c r="E733" i="2"/>
  <c r="C733" i="2"/>
  <c r="Q732" i="2"/>
  <c r="L732" i="2"/>
  <c r="G732" i="2"/>
  <c r="E732" i="2"/>
  <c r="C732" i="2"/>
  <c r="Q731" i="2"/>
  <c r="L731" i="2"/>
  <c r="G731" i="2"/>
  <c r="E731" i="2"/>
  <c r="C731" i="2"/>
  <c r="Q730" i="2"/>
  <c r="L730" i="2"/>
  <c r="G730" i="2"/>
  <c r="E730" i="2"/>
  <c r="C730" i="2"/>
  <c r="Q729" i="2"/>
  <c r="L729" i="2"/>
  <c r="G729" i="2"/>
  <c r="E729" i="2"/>
  <c r="C729" i="2"/>
  <c r="Q728" i="2"/>
  <c r="L728" i="2"/>
  <c r="G728" i="2"/>
  <c r="E728" i="2"/>
  <c r="C728" i="2"/>
  <c r="Q727" i="2"/>
  <c r="L727" i="2"/>
  <c r="G727" i="2"/>
  <c r="E727" i="2"/>
  <c r="C727" i="2"/>
  <c r="Q726" i="2"/>
  <c r="L726" i="2"/>
  <c r="G726" i="2"/>
  <c r="E726" i="2"/>
  <c r="C726" i="2"/>
  <c r="Q725" i="2"/>
  <c r="L725" i="2"/>
  <c r="G725" i="2"/>
  <c r="E725" i="2"/>
  <c r="C725" i="2"/>
  <c r="Q724" i="2"/>
  <c r="L724" i="2"/>
  <c r="G724" i="2"/>
  <c r="E724" i="2"/>
  <c r="C724" i="2"/>
  <c r="Q723" i="2"/>
  <c r="L723" i="2"/>
  <c r="G723" i="2"/>
  <c r="E723" i="2"/>
  <c r="C723" i="2"/>
  <c r="Q722" i="2"/>
  <c r="L722" i="2"/>
  <c r="G722" i="2"/>
  <c r="E722" i="2"/>
  <c r="C722" i="2"/>
  <c r="Q721" i="2"/>
  <c r="L721" i="2"/>
  <c r="G721" i="2"/>
  <c r="E721" i="2"/>
  <c r="C721" i="2"/>
  <c r="Q720" i="2"/>
  <c r="L720" i="2"/>
  <c r="G720" i="2"/>
  <c r="E720" i="2"/>
  <c r="C720" i="2"/>
  <c r="Q719" i="2"/>
  <c r="L719" i="2"/>
  <c r="G719" i="2"/>
  <c r="E719" i="2"/>
  <c r="C719" i="2"/>
  <c r="Q718" i="2"/>
  <c r="L718" i="2"/>
  <c r="G718" i="2"/>
  <c r="E718" i="2"/>
  <c r="C718" i="2"/>
  <c r="Q717" i="2"/>
  <c r="L717" i="2"/>
  <c r="G717" i="2"/>
  <c r="E717" i="2"/>
  <c r="C717" i="2"/>
  <c r="Q716" i="2"/>
  <c r="L716" i="2"/>
  <c r="G716" i="2"/>
  <c r="E716" i="2"/>
  <c r="C716" i="2"/>
  <c r="Q715" i="2"/>
  <c r="L715" i="2"/>
  <c r="G715" i="2"/>
  <c r="E715" i="2"/>
  <c r="C715" i="2"/>
  <c r="Q714" i="2"/>
  <c r="L714" i="2"/>
  <c r="G714" i="2"/>
  <c r="E714" i="2"/>
  <c r="C714" i="2"/>
  <c r="Q713" i="2"/>
  <c r="L713" i="2"/>
  <c r="G713" i="2"/>
  <c r="E713" i="2"/>
  <c r="C713" i="2"/>
  <c r="Q712" i="2"/>
  <c r="L712" i="2"/>
  <c r="G712" i="2"/>
  <c r="E712" i="2"/>
  <c r="C712" i="2"/>
  <c r="Q711" i="2"/>
  <c r="L711" i="2"/>
  <c r="G711" i="2"/>
  <c r="E711" i="2"/>
  <c r="C711" i="2"/>
  <c r="Q710" i="2"/>
  <c r="L710" i="2"/>
  <c r="G710" i="2"/>
  <c r="E710" i="2"/>
  <c r="C710" i="2"/>
  <c r="Q709" i="2"/>
  <c r="L709" i="2"/>
  <c r="G709" i="2"/>
  <c r="E709" i="2"/>
  <c r="C709" i="2"/>
  <c r="Q708" i="2"/>
  <c r="L708" i="2"/>
  <c r="G708" i="2"/>
  <c r="E708" i="2"/>
  <c r="C708" i="2"/>
  <c r="Q707" i="2"/>
  <c r="L707" i="2"/>
  <c r="G707" i="2"/>
  <c r="E707" i="2"/>
  <c r="C707" i="2"/>
  <c r="Q706" i="2"/>
  <c r="L706" i="2"/>
  <c r="G706" i="2"/>
  <c r="E706" i="2"/>
  <c r="C706" i="2"/>
  <c r="Q705" i="2"/>
  <c r="L705" i="2"/>
  <c r="G705" i="2"/>
  <c r="E705" i="2"/>
  <c r="C705" i="2"/>
  <c r="Q704" i="2"/>
  <c r="L704" i="2"/>
  <c r="G704" i="2"/>
  <c r="E704" i="2"/>
  <c r="C704" i="2"/>
  <c r="Q703" i="2"/>
  <c r="L703" i="2"/>
  <c r="G703" i="2"/>
  <c r="E703" i="2"/>
  <c r="C703" i="2"/>
  <c r="Q702" i="2"/>
  <c r="L702" i="2"/>
  <c r="G702" i="2"/>
  <c r="E702" i="2"/>
  <c r="C702" i="2"/>
  <c r="Q701" i="2"/>
  <c r="L701" i="2"/>
  <c r="G701" i="2"/>
  <c r="E701" i="2"/>
  <c r="C701" i="2"/>
  <c r="Q700" i="2"/>
  <c r="L700" i="2"/>
  <c r="G700" i="2"/>
  <c r="E700" i="2"/>
  <c r="C700" i="2"/>
  <c r="Q699" i="2"/>
  <c r="L699" i="2"/>
  <c r="G699" i="2"/>
  <c r="E699" i="2"/>
  <c r="C699" i="2"/>
  <c r="Q698" i="2"/>
  <c r="L698" i="2"/>
  <c r="G698" i="2"/>
  <c r="E698" i="2"/>
  <c r="C698" i="2"/>
  <c r="Q697" i="2"/>
  <c r="L697" i="2"/>
  <c r="G697" i="2"/>
  <c r="E697" i="2"/>
  <c r="C697" i="2"/>
  <c r="Q696" i="2"/>
  <c r="L696" i="2"/>
  <c r="G696" i="2"/>
  <c r="E696" i="2"/>
  <c r="C696" i="2"/>
  <c r="Q695" i="2"/>
  <c r="L695" i="2"/>
  <c r="G695" i="2"/>
  <c r="E695" i="2"/>
  <c r="C695" i="2"/>
  <c r="Q694" i="2"/>
  <c r="L694" i="2"/>
  <c r="G694" i="2"/>
  <c r="E694" i="2"/>
  <c r="C694" i="2"/>
  <c r="Q693" i="2"/>
  <c r="L693" i="2"/>
  <c r="G693" i="2"/>
  <c r="E693" i="2"/>
  <c r="C693" i="2"/>
  <c r="Q692" i="2"/>
  <c r="L692" i="2"/>
  <c r="G692" i="2"/>
  <c r="E692" i="2"/>
  <c r="C692" i="2"/>
  <c r="Q691" i="2"/>
  <c r="L691" i="2"/>
  <c r="G691" i="2"/>
  <c r="E691" i="2"/>
  <c r="C691" i="2"/>
  <c r="Q690" i="2"/>
  <c r="L690" i="2"/>
  <c r="G690" i="2"/>
  <c r="E690" i="2"/>
  <c r="C690" i="2"/>
  <c r="Q689" i="2"/>
  <c r="L689" i="2"/>
  <c r="G689" i="2"/>
  <c r="E689" i="2"/>
  <c r="C689" i="2"/>
  <c r="Q688" i="2"/>
  <c r="L688" i="2"/>
  <c r="G688" i="2"/>
  <c r="E688" i="2"/>
  <c r="C688" i="2"/>
  <c r="Q687" i="2"/>
  <c r="L687" i="2"/>
  <c r="G687" i="2"/>
  <c r="E687" i="2"/>
  <c r="C687" i="2"/>
  <c r="Q686" i="2"/>
  <c r="L686" i="2"/>
  <c r="G686" i="2"/>
  <c r="E686" i="2"/>
  <c r="C686" i="2"/>
  <c r="Q685" i="2"/>
  <c r="L685" i="2"/>
  <c r="G685" i="2"/>
  <c r="E685" i="2"/>
  <c r="C685" i="2"/>
  <c r="Q684" i="2"/>
  <c r="L684" i="2"/>
  <c r="G684" i="2"/>
  <c r="E684" i="2"/>
  <c r="C684" i="2"/>
  <c r="Q683" i="2"/>
  <c r="L683" i="2"/>
  <c r="G683" i="2"/>
  <c r="E683" i="2"/>
  <c r="C683" i="2"/>
  <c r="Q682" i="2"/>
  <c r="L682" i="2"/>
  <c r="G682" i="2"/>
  <c r="E682" i="2"/>
  <c r="C682" i="2"/>
  <c r="Q681" i="2"/>
  <c r="L681" i="2"/>
  <c r="G681" i="2"/>
  <c r="E681" i="2"/>
  <c r="C681" i="2"/>
  <c r="Q680" i="2"/>
  <c r="L680" i="2"/>
  <c r="G680" i="2"/>
  <c r="E680" i="2"/>
  <c r="C680" i="2"/>
  <c r="Q679" i="2"/>
  <c r="L679" i="2"/>
  <c r="G679" i="2"/>
  <c r="E679" i="2"/>
  <c r="C679" i="2"/>
  <c r="Q678" i="2"/>
  <c r="L678" i="2"/>
  <c r="G678" i="2"/>
  <c r="E678" i="2"/>
  <c r="C678" i="2"/>
  <c r="Q677" i="2"/>
  <c r="L677" i="2"/>
  <c r="G677" i="2"/>
  <c r="E677" i="2"/>
  <c r="C677" i="2"/>
  <c r="Q676" i="2"/>
  <c r="L676" i="2"/>
  <c r="G676" i="2"/>
  <c r="E676" i="2"/>
  <c r="C676" i="2"/>
  <c r="Q675" i="2"/>
  <c r="L675" i="2"/>
  <c r="G675" i="2"/>
  <c r="E675" i="2"/>
  <c r="C675" i="2"/>
  <c r="Q674" i="2"/>
  <c r="L674" i="2"/>
  <c r="G674" i="2"/>
  <c r="E674" i="2"/>
  <c r="C674" i="2"/>
  <c r="Q673" i="2"/>
  <c r="L673" i="2"/>
  <c r="G673" i="2"/>
  <c r="E673" i="2"/>
  <c r="C673" i="2"/>
  <c r="Q672" i="2"/>
  <c r="L672" i="2"/>
  <c r="G672" i="2"/>
  <c r="E672" i="2"/>
  <c r="C672" i="2"/>
  <c r="Q671" i="2"/>
  <c r="L671" i="2"/>
  <c r="G671" i="2"/>
  <c r="E671" i="2"/>
  <c r="C671" i="2"/>
  <c r="Q670" i="2"/>
  <c r="L670" i="2"/>
  <c r="G670" i="2"/>
  <c r="E670" i="2"/>
  <c r="C670" i="2"/>
  <c r="Q669" i="2"/>
  <c r="L669" i="2"/>
  <c r="G669" i="2"/>
  <c r="E669" i="2"/>
  <c r="C669" i="2"/>
  <c r="Q668" i="2"/>
  <c r="L668" i="2"/>
  <c r="G668" i="2"/>
  <c r="E668" i="2"/>
  <c r="C668" i="2"/>
  <c r="Q667" i="2"/>
  <c r="L667" i="2"/>
  <c r="G667" i="2"/>
  <c r="E667" i="2"/>
  <c r="C667" i="2"/>
  <c r="Q666" i="2"/>
  <c r="L666" i="2"/>
  <c r="G666" i="2"/>
  <c r="E666" i="2"/>
  <c r="C666" i="2"/>
  <c r="Q665" i="2"/>
  <c r="L665" i="2"/>
  <c r="G665" i="2"/>
  <c r="E665" i="2"/>
  <c r="C665" i="2"/>
  <c r="Q664" i="2"/>
  <c r="L664" i="2"/>
  <c r="G664" i="2"/>
  <c r="E664" i="2"/>
  <c r="C664" i="2"/>
  <c r="Q663" i="2"/>
  <c r="L663" i="2"/>
  <c r="G663" i="2"/>
  <c r="E663" i="2"/>
  <c r="C663" i="2"/>
  <c r="Q662" i="2"/>
  <c r="L662" i="2"/>
  <c r="G662" i="2"/>
  <c r="E662" i="2"/>
  <c r="C662" i="2"/>
  <c r="Q661" i="2"/>
  <c r="L661" i="2"/>
  <c r="G661" i="2"/>
  <c r="E661" i="2"/>
  <c r="C661" i="2"/>
  <c r="Q660" i="2"/>
  <c r="L660" i="2"/>
  <c r="G660" i="2"/>
  <c r="E660" i="2"/>
  <c r="C660" i="2"/>
  <c r="Q659" i="2"/>
  <c r="L659" i="2"/>
  <c r="G659" i="2"/>
  <c r="E659" i="2"/>
  <c r="C659" i="2"/>
  <c r="Q658" i="2"/>
  <c r="L658" i="2"/>
  <c r="G658" i="2"/>
  <c r="E658" i="2"/>
  <c r="C658" i="2"/>
  <c r="Q657" i="2"/>
  <c r="L657" i="2"/>
  <c r="G657" i="2"/>
  <c r="E657" i="2"/>
  <c r="C657" i="2"/>
  <c r="Q656" i="2"/>
  <c r="L656" i="2"/>
  <c r="G656" i="2"/>
  <c r="E656" i="2"/>
  <c r="C656" i="2"/>
  <c r="Q655" i="2"/>
  <c r="L655" i="2"/>
  <c r="G655" i="2"/>
  <c r="E655" i="2"/>
  <c r="C655" i="2"/>
  <c r="Q654" i="2"/>
  <c r="L654" i="2"/>
  <c r="G654" i="2"/>
  <c r="E654" i="2"/>
  <c r="C654" i="2"/>
  <c r="Q653" i="2"/>
  <c r="L653" i="2"/>
  <c r="G653" i="2"/>
  <c r="E653" i="2"/>
  <c r="C653" i="2"/>
  <c r="Q652" i="2"/>
  <c r="L652" i="2"/>
  <c r="G652" i="2"/>
  <c r="E652" i="2"/>
  <c r="C652" i="2"/>
  <c r="Q651" i="2"/>
  <c r="L651" i="2"/>
  <c r="G651" i="2"/>
  <c r="E651" i="2"/>
  <c r="C651" i="2"/>
  <c r="Q650" i="2"/>
  <c r="L650" i="2"/>
  <c r="G650" i="2"/>
  <c r="E650" i="2"/>
  <c r="C650" i="2"/>
  <c r="Q649" i="2"/>
  <c r="L649" i="2"/>
  <c r="G649" i="2"/>
  <c r="E649" i="2"/>
  <c r="C649" i="2"/>
  <c r="Q648" i="2"/>
  <c r="L648" i="2"/>
  <c r="G648" i="2"/>
  <c r="E648" i="2"/>
  <c r="C648" i="2"/>
  <c r="Q647" i="2"/>
  <c r="L647" i="2"/>
  <c r="G647" i="2"/>
  <c r="E647" i="2"/>
  <c r="C647" i="2"/>
  <c r="Q646" i="2"/>
  <c r="L646" i="2"/>
  <c r="G646" i="2"/>
  <c r="E646" i="2"/>
  <c r="C646" i="2"/>
  <c r="Q645" i="2"/>
  <c r="L645" i="2"/>
  <c r="G645" i="2"/>
  <c r="E645" i="2"/>
  <c r="C645" i="2"/>
  <c r="Q644" i="2"/>
  <c r="L644" i="2"/>
  <c r="G644" i="2"/>
  <c r="E644" i="2"/>
  <c r="C644" i="2"/>
  <c r="Q643" i="2"/>
  <c r="L643" i="2"/>
  <c r="G643" i="2"/>
  <c r="E643" i="2"/>
  <c r="C643" i="2"/>
  <c r="Q642" i="2"/>
  <c r="L642" i="2"/>
  <c r="G642" i="2"/>
  <c r="E642" i="2"/>
  <c r="C642" i="2"/>
  <c r="Q641" i="2"/>
  <c r="L641" i="2"/>
  <c r="G641" i="2"/>
  <c r="E641" i="2"/>
  <c r="C641" i="2"/>
  <c r="Q640" i="2"/>
  <c r="L640" i="2"/>
  <c r="G640" i="2"/>
  <c r="E640" i="2"/>
  <c r="C640" i="2"/>
  <c r="Q639" i="2"/>
  <c r="L639" i="2"/>
  <c r="G639" i="2"/>
  <c r="E639" i="2"/>
  <c r="C639" i="2"/>
  <c r="Q638" i="2"/>
  <c r="L638" i="2"/>
  <c r="G638" i="2"/>
  <c r="E638" i="2"/>
  <c r="C638" i="2"/>
  <c r="Q637" i="2"/>
  <c r="L637" i="2"/>
  <c r="G637" i="2"/>
  <c r="E637" i="2"/>
  <c r="C637" i="2"/>
  <c r="Q636" i="2"/>
  <c r="L636" i="2"/>
  <c r="G636" i="2"/>
  <c r="E636" i="2"/>
  <c r="C636" i="2"/>
  <c r="Q635" i="2"/>
  <c r="L635" i="2"/>
  <c r="G635" i="2"/>
  <c r="E635" i="2"/>
  <c r="C635" i="2"/>
  <c r="Q634" i="2"/>
  <c r="L634" i="2"/>
  <c r="G634" i="2"/>
  <c r="E634" i="2"/>
  <c r="C634" i="2"/>
  <c r="Q633" i="2"/>
  <c r="L633" i="2"/>
  <c r="G633" i="2"/>
  <c r="E633" i="2"/>
  <c r="C633" i="2"/>
  <c r="Q632" i="2"/>
  <c r="L632" i="2"/>
  <c r="G632" i="2"/>
  <c r="E632" i="2"/>
  <c r="C632" i="2"/>
  <c r="Q631" i="2"/>
  <c r="L631" i="2"/>
  <c r="G631" i="2"/>
  <c r="E631" i="2"/>
  <c r="C631" i="2"/>
  <c r="Q630" i="2"/>
  <c r="L630" i="2"/>
  <c r="G630" i="2"/>
  <c r="E630" i="2"/>
  <c r="C630" i="2"/>
  <c r="Q629" i="2"/>
  <c r="L629" i="2"/>
  <c r="G629" i="2"/>
  <c r="E629" i="2"/>
  <c r="C629" i="2"/>
  <c r="Q628" i="2"/>
  <c r="L628" i="2"/>
  <c r="G628" i="2"/>
  <c r="E628" i="2"/>
  <c r="C628" i="2"/>
  <c r="Q627" i="2"/>
  <c r="L627" i="2"/>
  <c r="G627" i="2"/>
  <c r="E627" i="2"/>
  <c r="C627" i="2"/>
  <c r="Q626" i="2"/>
  <c r="L626" i="2"/>
  <c r="G626" i="2"/>
  <c r="E626" i="2"/>
  <c r="C626" i="2"/>
  <c r="Q625" i="2"/>
  <c r="L625" i="2"/>
  <c r="G625" i="2"/>
  <c r="E625" i="2"/>
  <c r="C625" i="2"/>
  <c r="Q624" i="2"/>
  <c r="L624" i="2"/>
  <c r="G624" i="2"/>
  <c r="E624" i="2"/>
  <c r="C624" i="2"/>
  <c r="Q623" i="2"/>
  <c r="L623" i="2"/>
  <c r="G623" i="2"/>
  <c r="E623" i="2"/>
  <c r="C623" i="2"/>
  <c r="Q622" i="2"/>
  <c r="L622" i="2"/>
  <c r="G622" i="2"/>
  <c r="E622" i="2"/>
  <c r="C622" i="2"/>
  <c r="Q621" i="2"/>
  <c r="L621" i="2"/>
  <c r="G621" i="2"/>
  <c r="E621" i="2"/>
  <c r="C621" i="2"/>
  <c r="Q620" i="2"/>
  <c r="L620" i="2"/>
  <c r="G620" i="2"/>
  <c r="E620" i="2"/>
  <c r="C620" i="2"/>
  <c r="Q619" i="2"/>
  <c r="L619" i="2"/>
  <c r="G619" i="2"/>
  <c r="E619" i="2"/>
  <c r="C619" i="2"/>
  <c r="Q618" i="2"/>
  <c r="L618" i="2"/>
  <c r="G618" i="2"/>
  <c r="E618" i="2"/>
  <c r="C618" i="2"/>
  <c r="Q617" i="2"/>
  <c r="L617" i="2"/>
  <c r="G617" i="2"/>
  <c r="E617" i="2"/>
  <c r="C617" i="2"/>
  <c r="Q616" i="2"/>
  <c r="L616" i="2"/>
  <c r="G616" i="2"/>
  <c r="E616" i="2"/>
  <c r="C616" i="2"/>
  <c r="Q615" i="2"/>
  <c r="L615" i="2"/>
  <c r="G615" i="2"/>
  <c r="E615" i="2"/>
  <c r="C615" i="2"/>
  <c r="Q614" i="2"/>
  <c r="L614" i="2"/>
  <c r="G614" i="2"/>
  <c r="E614" i="2"/>
  <c r="C614" i="2"/>
  <c r="Q613" i="2"/>
  <c r="L613" i="2"/>
  <c r="G613" i="2"/>
  <c r="E613" i="2"/>
  <c r="C613" i="2"/>
  <c r="Q612" i="2"/>
  <c r="L612" i="2"/>
  <c r="G612" i="2"/>
  <c r="E612" i="2"/>
  <c r="C612" i="2"/>
  <c r="Q611" i="2"/>
  <c r="L611" i="2"/>
  <c r="G611" i="2"/>
  <c r="E611" i="2"/>
  <c r="C611" i="2"/>
  <c r="Q610" i="2"/>
  <c r="L610" i="2"/>
  <c r="G610" i="2"/>
  <c r="E610" i="2"/>
  <c r="C610" i="2"/>
  <c r="Q609" i="2"/>
  <c r="L609" i="2"/>
  <c r="G609" i="2"/>
  <c r="E609" i="2"/>
  <c r="C609" i="2"/>
  <c r="Q608" i="2"/>
  <c r="L608" i="2"/>
  <c r="G608" i="2"/>
  <c r="E608" i="2"/>
  <c r="C608" i="2"/>
  <c r="Q607" i="2"/>
  <c r="L607" i="2"/>
  <c r="G607" i="2"/>
  <c r="E607" i="2"/>
  <c r="C607" i="2"/>
  <c r="Q606" i="2"/>
  <c r="L606" i="2"/>
  <c r="G606" i="2"/>
  <c r="E606" i="2"/>
  <c r="C606" i="2"/>
  <c r="Q605" i="2"/>
  <c r="L605" i="2"/>
  <c r="G605" i="2"/>
  <c r="E605" i="2"/>
  <c r="C605" i="2"/>
  <c r="Q604" i="2"/>
  <c r="L604" i="2"/>
  <c r="G604" i="2"/>
  <c r="E604" i="2"/>
  <c r="C604" i="2"/>
  <c r="Q603" i="2"/>
  <c r="L603" i="2"/>
  <c r="G603" i="2"/>
  <c r="E603" i="2"/>
  <c r="C603" i="2"/>
  <c r="Q602" i="2"/>
  <c r="L602" i="2"/>
  <c r="G602" i="2"/>
  <c r="E602" i="2"/>
  <c r="C602" i="2"/>
  <c r="Q601" i="2"/>
  <c r="L601" i="2"/>
  <c r="G601" i="2"/>
  <c r="E601" i="2"/>
  <c r="C601" i="2"/>
  <c r="Q600" i="2"/>
  <c r="L600" i="2"/>
  <c r="G600" i="2"/>
  <c r="E600" i="2"/>
  <c r="C600" i="2"/>
  <c r="Q599" i="2"/>
  <c r="L599" i="2"/>
  <c r="G599" i="2"/>
  <c r="E599" i="2"/>
  <c r="C599" i="2"/>
  <c r="Q598" i="2"/>
  <c r="L598" i="2"/>
  <c r="G598" i="2"/>
  <c r="E598" i="2"/>
  <c r="C598" i="2"/>
  <c r="Q597" i="2"/>
  <c r="L597" i="2"/>
  <c r="G597" i="2"/>
  <c r="E597" i="2"/>
  <c r="C597" i="2"/>
  <c r="Q596" i="2"/>
  <c r="L596" i="2"/>
  <c r="G596" i="2"/>
  <c r="E596" i="2"/>
  <c r="C596" i="2"/>
  <c r="Q595" i="2"/>
  <c r="L595" i="2"/>
  <c r="G595" i="2"/>
  <c r="E595" i="2"/>
  <c r="C595" i="2"/>
  <c r="Q594" i="2"/>
  <c r="L594" i="2"/>
  <c r="G594" i="2"/>
  <c r="E594" i="2"/>
  <c r="C594" i="2"/>
  <c r="Q593" i="2"/>
  <c r="L593" i="2"/>
  <c r="G593" i="2"/>
  <c r="E593" i="2"/>
  <c r="C593" i="2"/>
  <c r="Q592" i="2"/>
  <c r="L592" i="2"/>
  <c r="G592" i="2"/>
  <c r="E592" i="2"/>
  <c r="C592" i="2"/>
  <c r="Q591" i="2"/>
  <c r="L591" i="2"/>
  <c r="G591" i="2"/>
  <c r="E591" i="2"/>
  <c r="C591" i="2"/>
  <c r="Q590" i="2"/>
  <c r="L590" i="2"/>
  <c r="G590" i="2"/>
  <c r="E590" i="2"/>
  <c r="C590" i="2"/>
  <c r="Q589" i="2"/>
  <c r="L589" i="2"/>
  <c r="G589" i="2"/>
  <c r="E589" i="2"/>
  <c r="C589" i="2"/>
  <c r="Q588" i="2"/>
  <c r="L588" i="2"/>
  <c r="G588" i="2"/>
  <c r="E588" i="2"/>
  <c r="C588" i="2"/>
  <c r="Q587" i="2"/>
  <c r="L587" i="2"/>
  <c r="G587" i="2"/>
  <c r="E587" i="2"/>
  <c r="C587" i="2"/>
  <c r="Q586" i="2"/>
  <c r="L586" i="2"/>
  <c r="G586" i="2"/>
  <c r="E586" i="2"/>
  <c r="C586" i="2"/>
  <c r="Q585" i="2"/>
  <c r="L585" i="2"/>
  <c r="G585" i="2"/>
  <c r="E585" i="2"/>
  <c r="C585" i="2"/>
  <c r="Q584" i="2"/>
  <c r="L584" i="2"/>
  <c r="G584" i="2"/>
  <c r="E584" i="2"/>
  <c r="C584" i="2"/>
  <c r="Q583" i="2"/>
  <c r="L583" i="2"/>
  <c r="G583" i="2"/>
  <c r="E583" i="2"/>
  <c r="C583" i="2"/>
  <c r="Q582" i="2"/>
  <c r="L582" i="2"/>
  <c r="G582" i="2"/>
  <c r="E582" i="2"/>
  <c r="C582" i="2"/>
  <c r="Q581" i="2"/>
  <c r="L581" i="2"/>
  <c r="G581" i="2"/>
  <c r="E581" i="2"/>
  <c r="C581" i="2"/>
  <c r="Q580" i="2"/>
  <c r="L580" i="2"/>
  <c r="G580" i="2"/>
  <c r="E580" i="2"/>
  <c r="C580" i="2"/>
  <c r="Q579" i="2"/>
  <c r="L579" i="2"/>
  <c r="G579" i="2"/>
  <c r="E579" i="2"/>
  <c r="C579" i="2"/>
  <c r="Q578" i="2"/>
  <c r="L578" i="2"/>
  <c r="G578" i="2"/>
  <c r="E578" i="2"/>
  <c r="C578" i="2"/>
  <c r="Q577" i="2"/>
  <c r="L577" i="2"/>
  <c r="G577" i="2"/>
  <c r="E577" i="2"/>
  <c r="C577" i="2"/>
  <c r="Q576" i="2"/>
  <c r="L576" i="2"/>
  <c r="G576" i="2"/>
  <c r="E576" i="2"/>
  <c r="C576" i="2"/>
  <c r="Q575" i="2"/>
  <c r="L575" i="2"/>
  <c r="G575" i="2"/>
  <c r="E575" i="2"/>
  <c r="C575" i="2"/>
  <c r="Q574" i="2"/>
  <c r="L574" i="2"/>
  <c r="G574" i="2"/>
  <c r="E574" i="2"/>
  <c r="C574" i="2"/>
  <c r="Q573" i="2"/>
  <c r="L573" i="2"/>
  <c r="G573" i="2"/>
  <c r="E573" i="2"/>
  <c r="C573" i="2"/>
  <c r="Q572" i="2"/>
  <c r="L572" i="2"/>
  <c r="G572" i="2"/>
  <c r="E572" i="2"/>
  <c r="C572" i="2"/>
  <c r="Q571" i="2"/>
  <c r="L571" i="2"/>
  <c r="G571" i="2"/>
  <c r="E571" i="2"/>
  <c r="C571" i="2"/>
  <c r="Q570" i="2"/>
  <c r="L570" i="2"/>
  <c r="G570" i="2"/>
  <c r="E570" i="2"/>
  <c r="C570" i="2"/>
  <c r="Q569" i="2"/>
  <c r="L569" i="2"/>
  <c r="G569" i="2"/>
  <c r="E569" i="2"/>
  <c r="C569" i="2"/>
  <c r="Q568" i="2"/>
  <c r="L568" i="2"/>
  <c r="G568" i="2"/>
  <c r="E568" i="2"/>
  <c r="C568" i="2"/>
  <c r="Q567" i="2"/>
  <c r="L567" i="2"/>
  <c r="G567" i="2"/>
  <c r="E567" i="2"/>
  <c r="C567" i="2"/>
  <c r="Q566" i="2"/>
  <c r="L566" i="2"/>
  <c r="G566" i="2"/>
  <c r="E566" i="2"/>
  <c r="C566" i="2"/>
  <c r="Q565" i="2"/>
  <c r="L565" i="2"/>
  <c r="G565" i="2"/>
  <c r="E565" i="2"/>
  <c r="C565" i="2"/>
  <c r="Q564" i="2"/>
  <c r="L564" i="2"/>
  <c r="G564" i="2"/>
  <c r="E564" i="2"/>
  <c r="C564" i="2"/>
  <c r="Q563" i="2"/>
  <c r="L563" i="2"/>
  <c r="G563" i="2"/>
  <c r="E563" i="2"/>
  <c r="C563" i="2"/>
  <c r="Q562" i="2"/>
  <c r="L562" i="2"/>
  <c r="G562" i="2"/>
  <c r="E562" i="2"/>
  <c r="C562" i="2"/>
  <c r="Q561" i="2"/>
  <c r="L561" i="2"/>
  <c r="G561" i="2"/>
  <c r="E561" i="2"/>
  <c r="C561" i="2"/>
  <c r="Q560" i="2"/>
  <c r="L560" i="2"/>
  <c r="G560" i="2"/>
  <c r="E560" i="2"/>
  <c r="C560" i="2"/>
  <c r="Q559" i="2"/>
  <c r="L559" i="2"/>
  <c r="G559" i="2"/>
  <c r="E559" i="2"/>
  <c r="C559" i="2"/>
  <c r="Q558" i="2"/>
  <c r="L558" i="2"/>
  <c r="G558" i="2"/>
  <c r="E558" i="2"/>
  <c r="C558" i="2"/>
  <c r="Q557" i="2"/>
  <c r="L557" i="2"/>
  <c r="G557" i="2"/>
  <c r="E557" i="2"/>
  <c r="C557" i="2"/>
  <c r="Q556" i="2"/>
  <c r="L556" i="2"/>
  <c r="G556" i="2"/>
  <c r="E556" i="2"/>
  <c r="C556" i="2"/>
  <c r="Q555" i="2"/>
  <c r="L555" i="2"/>
  <c r="G555" i="2"/>
  <c r="E555" i="2"/>
  <c r="C555" i="2"/>
  <c r="Q554" i="2"/>
  <c r="L554" i="2"/>
  <c r="G554" i="2"/>
  <c r="E554" i="2"/>
  <c r="C554" i="2"/>
  <c r="Q553" i="2"/>
  <c r="L553" i="2"/>
  <c r="G553" i="2"/>
  <c r="E553" i="2"/>
  <c r="C553" i="2"/>
  <c r="Q552" i="2"/>
  <c r="L552" i="2"/>
  <c r="G552" i="2"/>
  <c r="E552" i="2"/>
  <c r="C552" i="2"/>
  <c r="Q551" i="2"/>
  <c r="L551" i="2"/>
  <c r="G551" i="2"/>
  <c r="E551" i="2"/>
  <c r="C551" i="2"/>
  <c r="Q550" i="2"/>
  <c r="L550" i="2"/>
  <c r="G550" i="2"/>
  <c r="E550" i="2"/>
  <c r="C550" i="2"/>
  <c r="Q549" i="2"/>
  <c r="L549" i="2"/>
  <c r="G549" i="2"/>
  <c r="E549" i="2"/>
  <c r="C549" i="2"/>
  <c r="Q548" i="2"/>
  <c r="L548" i="2"/>
  <c r="G548" i="2"/>
  <c r="E548" i="2"/>
  <c r="C548" i="2"/>
  <c r="Q547" i="2"/>
  <c r="L547" i="2"/>
  <c r="G547" i="2"/>
  <c r="E547" i="2"/>
  <c r="C547" i="2"/>
  <c r="Q546" i="2"/>
  <c r="L546" i="2"/>
  <c r="G546" i="2"/>
  <c r="E546" i="2"/>
  <c r="C546" i="2"/>
  <c r="Q545" i="2"/>
  <c r="L545" i="2"/>
  <c r="G545" i="2"/>
  <c r="E545" i="2"/>
  <c r="C545" i="2"/>
  <c r="Q544" i="2"/>
  <c r="L544" i="2"/>
  <c r="G544" i="2"/>
  <c r="E544" i="2"/>
  <c r="C544" i="2"/>
  <c r="Q543" i="2"/>
  <c r="L543" i="2"/>
  <c r="G543" i="2"/>
  <c r="E543" i="2"/>
  <c r="C543" i="2"/>
  <c r="Q542" i="2"/>
  <c r="L542" i="2"/>
  <c r="G542" i="2"/>
  <c r="E542" i="2"/>
  <c r="C542" i="2"/>
  <c r="Q541" i="2"/>
  <c r="L541" i="2"/>
  <c r="G541" i="2"/>
  <c r="E541" i="2"/>
  <c r="C541" i="2"/>
  <c r="Q540" i="2"/>
  <c r="L540" i="2"/>
  <c r="G540" i="2"/>
  <c r="E540" i="2"/>
  <c r="C540" i="2"/>
  <c r="Q539" i="2"/>
  <c r="L539" i="2"/>
  <c r="G539" i="2"/>
  <c r="E539" i="2"/>
  <c r="C539" i="2"/>
  <c r="Q538" i="2"/>
  <c r="L538" i="2"/>
  <c r="G538" i="2"/>
  <c r="E538" i="2"/>
  <c r="C538" i="2"/>
  <c r="Q537" i="2"/>
  <c r="L537" i="2"/>
  <c r="G537" i="2"/>
  <c r="E537" i="2"/>
  <c r="C537" i="2"/>
  <c r="Q536" i="2"/>
  <c r="L536" i="2"/>
  <c r="G536" i="2"/>
  <c r="E536" i="2"/>
  <c r="C536" i="2"/>
  <c r="Q535" i="2"/>
  <c r="L535" i="2"/>
  <c r="G535" i="2"/>
  <c r="E535" i="2"/>
  <c r="C535" i="2"/>
  <c r="Q534" i="2"/>
  <c r="L534" i="2"/>
  <c r="G534" i="2"/>
  <c r="E534" i="2"/>
  <c r="C534" i="2"/>
  <c r="Q533" i="2"/>
  <c r="L533" i="2"/>
  <c r="G533" i="2"/>
  <c r="E533" i="2"/>
  <c r="C533" i="2"/>
  <c r="Q532" i="2"/>
  <c r="L532" i="2"/>
  <c r="G532" i="2"/>
  <c r="E532" i="2"/>
  <c r="C532" i="2"/>
  <c r="Q531" i="2"/>
  <c r="L531" i="2"/>
  <c r="G531" i="2"/>
  <c r="E531" i="2"/>
  <c r="C531" i="2"/>
  <c r="Q530" i="2"/>
  <c r="L530" i="2"/>
  <c r="G530" i="2"/>
  <c r="E530" i="2"/>
  <c r="C530" i="2"/>
  <c r="Q529" i="2"/>
  <c r="L529" i="2"/>
  <c r="G529" i="2"/>
  <c r="E529" i="2"/>
  <c r="C529" i="2"/>
  <c r="Q528" i="2"/>
  <c r="L528" i="2"/>
  <c r="G528" i="2"/>
  <c r="E528" i="2"/>
  <c r="C528" i="2"/>
  <c r="Q527" i="2"/>
  <c r="L527" i="2"/>
  <c r="G527" i="2"/>
  <c r="E527" i="2"/>
  <c r="C527" i="2"/>
  <c r="Q526" i="2"/>
  <c r="L526" i="2"/>
  <c r="G526" i="2"/>
  <c r="E526" i="2"/>
  <c r="C526" i="2"/>
  <c r="Q525" i="2"/>
  <c r="L525" i="2"/>
  <c r="G525" i="2"/>
  <c r="E525" i="2"/>
  <c r="C525" i="2"/>
  <c r="Q524" i="2"/>
  <c r="L524" i="2"/>
  <c r="G524" i="2"/>
  <c r="E524" i="2"/>
  <c r="C524" i="2"/>
  <c r="Q523" i="2"/>
  <c r="L523" i="2"/>
  <c r="G523" i="2"/>
  <c r="E523" i="2"/>
  <c r="C523" i="2"/>
  <c r="Q522" i="2"/>
  <c r="L522" i="2"/>
  <c r="G522" i="2"/>
  <c r="E522" i="2"/>
  <c r="C522" i="2"/>
  <c r="Q521" i="2"/>
  <c r="L521" i="2"/>
  <c r="G521" i="2"/>
  <c r="E521" i="2"/>
  <c r="C521" i="2"/>
  <c r="Q520" i="2"/>
  <c r="L520" i="2"/>
  <c r="G520" i="2"/>
  <c r="E520" i="2"/>
  <c r="C520" i="2"/>
  <c r="Q519" i="2"/>
  <c r="L519" i="2"/>
  <c r="G519" i="2"/>
  <c r="E519" i="2"/>
  <c r="C519" i="2"/>
  <c r="Q518" i="2"/>
  <c r="L518" i="2"/>
  <c r="G518" i="2"/>
  <c r="E518" i="2"/>
  <c r="C518" i="2"/>
  <c r="Q517" i="2"/>
  <c r="L517" i="2"/>
  <c r="G517" i="2"/>
  <c r="E517" i="2"/>
  <c r="C517" i="2"/>
  <c r="Q516" i="2"/>
  <c r="L516" i="2"/>
  <c r="G516" i="2"/>
  <c r="E516" i="2"/>
  <c r="C516" i="2"/>
  <c r="Q515" i="2"/>
  <c r="L515" i="2"/>
  <c r="G515" i="2"/>
  <c r="E515" i="2"/>
  <c r="C515" i="2"/>
  <c r="Q514" i="2"/>
  <c r="L514" i="2"/>
  <c r="G514" i="2"/>
  <c r="E514" i="2"/>
  <c r="C514" i="2"/>
  <c r="Q513" i="2"/>
  <c r="L513" i="2"/>
  <c r="G513" i="2"/>
  <c r="E513" i="2"/>
  <c r="C513" i="2"/>
  <c r="Q512" i="2"/>
  <c r="L512" i="2"/>
  <c r="G512" i="2"/>
  <c r="E512" i="2"/>
  <c r="C512" i="2"/>
  <c r="Q511" i="2"/>
  <c r="L511" i="2"/>
  <c r="G511" i="2"/>
  <c r="E511" i="2"/>
  <c r="C511" i="2"/>
  <c r="Q510" i="2"/>
  <c r="L510" i="2"/>
  <c r="G510" i="2"/>
  <c r="E510" i="2"/>
  <c r="C510" i="2"/>
  <c r="Q509" i="2"/>
  <c r="L509" i="2"/>
  <c r="G509" i="2"/>
  <c r="E509" i="2"/>
  <c r="C509" i="2"/>
  <c r="Q508" i="2"/>
  <c r="L508" i="2"/>
  <c r="G508" i="2"/>
  <c r="E508" i="2"/>
  <c r="C508" i="2"/>
  <c r="Q507" i="2"/>
  <c r="L507" i="2"/>
  <c r="G507" i="2"/>
  <c r="E507" i="2"/>
  <c r="C507" i="2"/>
  <c r="Q506" i="2"/>
  <c r="L506" i="2"/>
  <c r="G506" i="2"/>
  <c r="E506" i="2"/>
  <c r="C506" i="2"/>
  <c r="Q505" i="2"/>
  <c r="L505" i="2"/>
  <c r="G505" i="2"/>
  <c r="E505" i="2"/>
  <c r="C505" i="2"/>
  <c r="Q504" i="2"/>
  <c r="L504" i="2"/>
  <c r="G504" i="2"/>
  <c r="E504" i="2"/>
  <c r="C504" i="2"/>
  <c r="Q503" i="2"/>
  <c r="L503" i="2"/>
  <c r="G503" i="2"/>
  <c r="E503" i="2"/>
  <c r="C503" i="2"/>
  <c r="Q502" i="2"/>
  <c r="L502" i="2"/>
  <c r="G502" i="2"/>
  <c r="E502" i="2"/>
  <c r="C502" i="2"/>
  <c r="Q501" i="2"/>
  <c r="L501" i="2"/>
  <c r="G501" i="2"/>
  <c r="E501" i="2"/>
  <c r="C501" i="2"/>
  <c r="Q500" i="2"/>
  <c r="L500" i="2"/>
  <c r="G500" i="2"/>
  <c r="E500" i="2"/>
  <c r="C500" i="2"/>
  <c r="Q499" i="2"/>
  <c r="L499" i="2"/>
  <c r="G499" i="2"/>
  <c r="E499" i="2"/>
  <c r="C499" i="2"/>
  <c r="Q498" i="2"/>
  <c r="L498" i="2"/>
  <c r="G498" i="2"/>
  <c r="E498" i="2"/>
  <c r="C498" i="2"/>
  <c r="Q497" i="2"/>
  <c r="L497" i="2"/>
  <c r="G497" i="2"/>
  <c r="E497" i="2"/>
  <c r="C497" i="2"/>
  <c r="Q496" i="2"/>
  <c r="L496" i="2"/>
  <c r="G496" i="2"/>
  <c r="E496" i="2"/>
  <c r="C496" i="2"/>
  <c r="Q495" i="2"/>
  <c r="L495" i="2"/>
  <c r="G495" i="2"/>
  <c r="E495" i="2"/>
  <c r="C495" i="2"/>
  <c r="Q494" i="2"/>
  <c r="L494" i="2"/>
  <c r="G494" i="2"/>
  <c r="E494" i="2"/>
  <c r="C494" i="2"/>
  <c r="Q493" i="2"/>
  <c r="L493" i="2"/>
  <c r="G493" i="2"/>
  <c r="E493" i="2"/>
  <c r="C493" i="2"/>
  <c r="Q492" i="2"/>
  <c r="L492" i="2"/>
  <c r="G492" i="2"/>
  <c r="E492" i="2"/>
  <c r="C492" i="2"/>
  <c r="Q491" i="2"/>
  <c r="L491" i="2"/>
  <c r="G491" i="2"/>
  <c r="E491" i="2"/>
  <c r="C491" i="2"/>
  <c r="Q490" i="2"/>
  <c r="L490" i="2"/>
  <c r="G490" i="2"/>
  <c r="E490" i="2"/>
  <c r="C490" i="2"/>
  <c r="Q489" i="2"/>
  <c r="L489" i="2"/>
  <c r="G489" i="2"/>
  <c r="E489" i="2"/>
  <c r="C489" i="2"/>
  <c r="Q488" i="2"/>
  <c r="L488" i="2"/>
  <c r="G488" i="2"/>
  <c r="E488" i="2"/>
  <c r="C488" i="2"/>
  <c r="Q487" i="2"/>
  <c r="L487" i="2"/>
  <c r="G487" i="2"/>
  <c r="E487" i="2"/>
  <c r="C487" i="2"/>
  <c r="Q486" i="2"/>
  <c r="L486" i="2"/>
  <c r="G486" i="2"/>
  <c r="E486" i="2"/>
  <c r="C486" i="2"/>
  <c r="Q485" i="2"/>
  <c r="L485" i="2"/>
  <c r="G485" i="2"/>
  <c r="E485" i="2"/>
  <c r="C485" i="2"/>
  <c r="Q484" i="2"/>
  <c r="L484" i="2"/>
  <c r="G484" i="2"/>
  <c r="E484" i="2"/>
  <c r="C484" i="2"/>
  <c r="Q483" i="2"/>
  <c r="L483" i="2"/>
  <c r="G483" i="2"/>
  <c r="E483" i="2"/>
  <c r="C483" i="2"/>
  <c r="Q482" i="2"/>
  <c r="L482" i="2"/>
  <c r="G482" i="2"/>
  <c r="E482" i="2"/>
  <c r="C482" i="2"/>
  <c r="Q481" i="2"/>
  <c r="L481" i="2"/>
  <c r="G481" i="2"/>
  <c r="E481" i="2"/>
  <c r="C481" i="2"/>
  <c r="Q480" i="2"/>
  <c r="L480" i="2"/>
  <c r="G480" i="2"/>
  <c r="E480" i="2"/>
  <c r="C480" i="2"/>
  <c r="Q479" i="2"/>
  <c r="L479" i="2"/>
  <c r="G479" i="2"/>
  <c r="E479" i="2"/>
  <c r="C479" i="2"/>
  <c r="Q478" i="2"/>
  <c r="L478" i="2"/>
  <c r="G478" i="2"/>
  <c r="E478" i="2"/>
  <c r="C478" i="2"/>
  <c r="Q477" i="2"/>
  <c r="L477" i="2"/>
  <c r="G477" i="2"/>
  <c r="E477" i="2"/>
  <c r="C477" i="2"/>
  <c r="Q476" i="2"/>
  <c r="L476" i="2"/>
  <c r="G476" i="2"/>
  <c r="E476" i="2"/>
  <c r="C476" i="2"/>
  <c r="Q475" i="2"/>
  <c r="L475" i="2"/>
  <c r="G475" i="2"/>
  <c r="E475" i="2"/>
  <c r="C475" i="2"/>
  <c r="Q474" i="2"/>
  <c r="L474" i="2"/>
  <c r="G474" i="2"/>
  <c r="E474" i="2"/>
  <c r="C474" i="2"/>
  <c r="Q473" i="2"/>
  <c r="L473" i="2"/>
  <c r="G473" i="2"/>
  <c r="E473" i="2"/>
  <c r="C473" i="2"/>
  <c r="Q472" i="2"/>
  <c r="L472" i="2"/>
  <c r="G472" i="2"/>
  <c r="E472" i="2"/>
  <c r="C472" i="2"/>
  <c r="Q471" i="2"/>
  <c r="L471" i="2"/>
  <c r="G471" i="2"/>
  <c r="E471" i="2"/>
  <c r="C471" i="2"/>
  <c r="Q470" i="2"/>
  <c r="L470" i="2"/>
  <c r="G470" i="2"/>
  <c r="E470" i="2"/>
  <c r="C470" i="2"/>
  <c r="Q469" i="2"/>
  <c r="L469" i="2"/>
  <c r="G469" i="2"/>
  <c r="E469" i="2"/>
  <c r="C469" i="2"/>
  <c r="Q468" i="2"/>
  <c r="L468" i="2"/>
  <c r="G468" i="2"/>
  <c r="E468" i="2"/>
  <c r="C468" i="2"/>
  <c r="Q467" i="2"/>
  <c r="L467" i="2"/>
  <c r="G467" i="2"/>
  <c r="E467" i="2"/>
  <c r="C467" i="2"/>
  <c r="Q466" i="2"/>
  <c r="L466" i="2"/>
  <c r="G466" i="2"/>
  <c r="E466" i="2"/>
  <c r="C466" i="2"/>
  <c r="Q465" i="2"/>
  <c r="L465" i="2"/>
  <c r="G465" i="2"/>
  <c r="E465" i="2"/>
  <c r="C465" i="2"/>
  <c r="Q464" i="2"/>
  <c r="L464" i="2"/>
  <c r="G464" i="2"/>
  <c r="E464" i="2"/>
  <c r="C464" i="2"/>
  <c r="Q463" i="2"/>
  <c r="L463" i="2"/>
  <c r="G463" i="2"/>
  <c r="E463" i="2"/>
  <c r="C463" i="2"/>
  <c r="Q462" i="2"/>
  <c r="L462" i="2"/>
  <c r="G462" i="2"/>
  <c r="E462" i="2"/>
  <c r="C462" i="2"/>
  <c r="Q461" i="2"/>
  <c r="L461" i="2"/>
  <c r="G461" i="2"/>
  <c r="E461" i="2"/>
  <c r="C461" i="2"/>
  <c r="Q460" i="2"/>
  <c r="L460" i="2"/>
  <c r="G460" i="2"/>
  <c r="E460" i="2"/>
  <c r="C460" i="2"/>
  <c r="Q459" i="2"/>
  <c r="L459" i="2"/>
  <c r="G459" i="2"/>
  <c r="E459" i="2"/>
  <c r="C459" i="2"/>
  <c r="Q458" i="2"/>
  <c r="L458" i="2"/>
  <c r="G458" i="2"/>
  <c r="E458" i="2"/>
  <c r="C458" i="2"/>
  <c r="Q457" i="2"/>
  <c r="L457" i="2"/>
  <c r="G457" i="2"/>
  <c r="E457" i="2"/>
  <c r="C457" i="2"/>
  <c r="Q456" i="2"/>
  <c r="L456" i="2"/>
  <c r="G456" i="2"/>
  <c r="E456" i="2"/>
  <c r="C456" i="2"/>
  <c r="Q455" i="2"/>
  <c r="L455" i="2"/>
  <c r="G455" i="2"/>
  <c r="E455" i="2"/>
  <c r="C455" i="2"/>
  <c r="Q454" i="2"/>
  <c r="L454" i="2"/>
  <c r="G454" i="2"/>
  <c r="E454" i="2"/>
  <c r="C454" i="2"/>
  <c r="Q453" i="2"/>
  <c r="L453" i="2"/>
  <c r="G453" i="2"/>
  <c r="E453" i="2"/>
  <c r="C453" i="2"/>
  <c r="Q452" i="2"/>
  <c r="L452" i="2"/>
  <c r="G452" i="2"/>
  <c r="E452" i="2"/>
  <c r="C452" i="2"/>
  <c r="Q451" i="2"/>
  <c r="L451" i="2"/>
  <c r="G451" i="2"/>
  <c r="E451" i="2"/>
  <c r="C451" i="2"/>
  <c r="Q450" i="2"/>
  <c r="L450" i="2"/>
  <c r="G450" i="2"/>
  <c r="E450" i="2"/>
  <c r="C450" i="2"/>
  <c r="Q449" i="2"/>
  <c r="L449" i="2"/>
  <c r="G449" i="2"/>
  <c r="E449" i="2"/>
  <c r="C449" i="2"/>
  <c r="Q448" i="2"/>
  <c r="L448" i="2"/>
  <c r="G448" i="2"/>
  <c r="E448" i="2"/>
  <c r="C448" i="2"/>
  <c r="Q447" i="2"/>
  <c r="L447" i="2"/>
  <c r="G447" i="2"/>
  <c r="E447" i="2"/>
  <c r="C447" i="2"/>
  <c r="Q446" i="2"/>
  <c r="L446" i="2"/>
  <c r="G446" i="2"/>
  <c r="E446" i="2"/>
  <c r="C446" i="2"/>
  <c r="Q445" i="2"/>
  <c r="L445" i="2"/>
  <c r="G445" i="2"/>
  <c r="E445" i="2"/>
  <c r="C445" i="2"/>
  <c r="Q444" i="2"/>
  <c r="L444" i="2"/>
  <c r="G444" i="2"/>
  <c r="E444" i="2"/>
  <c r="C444" i="2"/>
  <c r="Q443" i="2"/>
  <c r="L443" i="2"/>
  <c r="G443" i="2"/>
  <c r="E443" i="2"/>
  <c r="C443" i="2"/>
  <c r="Q442" i="2"/>
  <c r="L442" i="2"/>
  <c r="G442" i="2"/>
  <c r="E442" i="2"/>
  <c r="C442" i="2"/>
  <c r="Q441" i="2"/>
  <c r="L441" i="2"/>
  <c r="G441" i="2"/>
  <c r="E441" i="2"/>
  <c r="C441" i="2"/>
  <c r="Q440" i="2"/>
  <c r="L440" i="2"/>
  <c r="G440" i="2"/>
  <c r="E440" i="2"/>
  <c r="C440" i="2"/>
  <c r="Q439" i="2"/>
  <c r="L439" i="2"/>
  <c r="G439" i="2"/>
  <c r="E439" i="2"/>
  <c r="C439" i="2"/>
  <c r="Q438" i="2"/>
  <c r="L438" i="2"/>
  <c r="G438" i="2"/>
  <c r="E438" i="2"/>
  <c r="C438" i="2"/>
  <c r="Q437" i="2"/>
  <c r="L437" i="2"/>
  <c r="G437" i="2"/>
  <c r="E437" i="2"/>
  <c r="C437" i="2"/>
  <c r="Q436" i="2"/>
  <c r="L436" i="2"/>
  <c r="G436" i="2"/>
  <c r="E436" i="2"/>
  <c r="C436" i="2"/>
  <c r="Q435" i="2"/>
  <c r="L435" i="2"/>
  <c r="G435" i="2"/>
  <c r="E435" i="2"/>
  <c r="C435" i="2"/>
  <c r="Q434" i="2"/>
  <c r="L434" i="2"/>
  <c r="G434" i="2"/>
  <c r="E434" i="2"/>
  <c r="C434" i="2"/>
  <c r="Q433" i="2"/>
  <c r="L433" i="2"/>
  <c r="G433" i="2"/>
  <c r="E433" i="2"/>
  <c r="C433" i="2"/>
  <c r="Q432" i="2"/>
  <c r="L432" i="2"/>
  <c r="G432" i="2"/>
  <c r="E432" i="2"/>
  <c r="C432" i="2"/>
  <c r="Q431" i="2"/>
  <c r="L431" i="2"/>
  <c r="G431" i="2"/>
  <c r="E431" i="2"/>
  <c r="C431" i="2"/>
  <c r="Q430" i="2"/>
  <c r="L430" i="2"/>
  <c r="G430" i="2"/>
  <c r="E430" i="2"/>
  <c r="C430" i="2"/>
  <c r="Q429" i="2"/>
  <c r="L429" i="2"/>
  <c r="G429" i="2"/>
  <c r="E429" i="2"/>
  <c r="C429" i="2"/>
  <c r="Q428" i="2"/>
  <c r="L428" i="2"/>
  <c r="G428" i="2"/>
  <c r="E428" i="2"/>
  <c r="C428" i="2"/>
  <c r="Q427" i="2"/>
  <c r="L427" i="2"/>
  <c r="G427" i="2"/>
  <c r="E427" i="2"/>
  <c r="C427" i="2"/>
  <c r="Q426" i="2"/>
  <c r="L426" i="2"/>
  <c r="G426" i="2"/>
  <c r="E426" i="2"/>
  <c r="C426" i="2"/>
  <c r="Q425" i="2"/>
  <c r="L425" i="2"/>
  <c r="G425" i="2"/>
  <c r="E425" i="2"/>
  <c r="C425" i="2"/>
  <c r="Q424" i="2"/>
  <c r="L424" i="2"/>
  <c r="G424" i="2"/>
  <c r="E424" i="2"/>
  <c r="C424" i="2"/>
  <c r="Q423" i="2"/>
  <c r="L423" i="2"/>
  <c r="G423" i="2"/>
  <c r="E423" i="2"/>
  <c r="C423" i="2"/>
  <c r="Q422" i="2"/>
  <c r="L422" i="2"/>
  <c r="G422" i="2"/>
  <c r="E422" i="2"/>
  <c r="C422" i="2"/>
  <c r="Q421" i="2"/>
  <c r="L421" i="2"/>
  <c r="G421" i="2"/>
  <c r="E421" i="2"/>
  <c r="C421" i="2"/>
  <c r="Q420" i="2"/>
  <c r="L420" i="2"/>
  <c r="G420" i="2"/>
  <c r="E420" i="2"/>
  <c r="C420" i="2"/>
  <c r="Q419" i="2"/>
  <c r="L419" i="2"/>
  <c r="G419" i="2"/>
  <c r="E419" i="2"/>
  <c r="C419" i="2"/>
  <c r="Q418" i="2"/>
  <c r="L418" i="2"/>
  <c r="G418" i="2"/>
  <c r="E418" i="2"/>
  <c r="C418" i="2"/>
  <c r="Q417" i="2"/>
  <c r="L417" i="2"/>
  <c r="G417" i="2"/>
  <c r="E417" i="2"/>
  <c r="C417" i="2"/>
  <c r="Q416" i="2"/>
  <c r="L416" i="2"/>
  <c r="G416" i="2"/>
  <c r="E416" i="2"/>
  <c r="C416" i="2"/>
  <c r="Q415" i="2"/>
  <c r="L415" i="2"/>
  <c r="G415" i="2"/>
  <c r="E415" i="2"/>
  <c r="C415" i="2"/>
  <c r="Q414" i="2"/>
  <c r="L414" i="2"/>
  <c r="G414" i="2"/>
  <c r="E414" i="2"/>
  <c r="C414" i="2"/>
  <c r="Q413" i="2"/>
  <c r="L413" i="2"/>
  <c r="G413" i="2"/>
  <c r="E413" i="2"/>
  <c r="C413" i="2"/>
  <c r="Q412" i="2"/>
  <c r="L412" i="2"/>
  <c r="G412" i="2"/>
  <c r="E412" i="2"/>
  <c r="C412" i="2"/>
  <c r="Q411" i="2"/>
  <c r="L411" i="2"/>
  <c r="G411" i="2"/>
  <c r="E411" i="2"/>
  <c r="C411" i="2"/>
  <c r="Q410" i="2"/>
  <c r="L410" i="2"/>
  <c r="G410" i="2"/>
  <c r="E410" i="2"/>
  <c r="C410" i="2"/>
  <c r="Q409" i="2"/>
  <c r="L409" i="2"/>
  <c r="G409" i="2"/>
  <c r="E409" i="2"/>
  <c r="C409" i="2"/>
  <c r="Q408" i="2"/>
  <c r="L408" i="2"/>
  <c r="G408" i="2"/>
  <c r="E408" i="2"/>
  <c r="C408" i="2"/>
  <c r="Q407" i="2"/>
  <c r="L407" i="2"/>
  <c r="G407" i="2"/>
  <c r="E407" i="2"/>
  <c r="C407" i="2"/>
  <c r="Q406" i="2"/>
  <c r="L406" i="2"/>
  <c r="G406" i="2"/>
  <c r="E406" i="2"/>
  <c r="C406" i="2"/>
  <c r="Q405" i="2"/>
  <c r="L405" i="2"/>
  <c r="G405" i="2"/>
  <c r="E405" i="2"/>
  <c r="C405" i="2"/>
  <c r="Q404" i="2"/>
  <c r="L404" i="2"/>
  <c r="G404" i="2"/>
  <c r="E404" i="2"/>
  <c r="C404" i="2"/>
  <c r="Q403" i="2"/>
  <c r="L403" i="2"/>
  <c r="G403" i="2"/>
  <c r="E403" i="2"/>
  <c r="C403" i="2"/>
  <c r="Q402" i="2"/>
  <c r="L402" i="2"/>
  <c r="G402" i="2"/>
  <c r="E402" i="2"/>
  <c r="C402" i="2"/>
  <c r="Q401" i="2"/>
  <c r="L401" i="2"/>
  <c r="G401" i="2"/>
  <c r="E401" i="2"/>
  <c r="C401" i="2"/>
  <c r="Q400" i="2"/>
  <c r="L400" i="2"/>
  <c r="G400" i="2"/>
  <c r="E400" i="2"/>
  <c r="C400" i="2"/>
  <c r="Q399" i="2"/>
  <c r="L399" i="2"/>
  <c r="G399" i="2"/>
  <c r="E399" i="2"/>
  <c r="C399" i="2"/>
  <c r="Q398" i="2"/>
  <c r="L398" i="2"/>
  <c r="G398" i="2"/>
  <c r="E398" i="2"/>
  <c r="C398" i="2"/>
  <c r="Q397" i="2"/>
  <c r="L397" i="2"/>
  <c r="G397" i="2"/>
  <c r="E397" i="2"/>
  <c r="C397" i="2"/>
  <c r="Q396" i="2"/>
  <c r="L396" i="2"/>
  <c r="G396" i="2"/>
  <c r="E396" i="2"/>
  <c r="C396" i="2"/>
  <c r="Q395" i="2"/>
  <c r="L395" i="2"/>
  <c r="G395" i="2"/>
  <c r="E395" i="2"/>
  <c r="C395" i="2"/>
  <c r="Q394" i="2"/>
  <c r="L394" i="2"/>
  <c r="G394" i="2"/>
  <c r="E394" i="2"/>
  <c r="C394" i="2"/>
  <c r="Q393" i="2"/>
  <c r="L393" i="2"/>
  <c r="G393" i="2"/>
  <c r="E393" i="2"/>
  <c r="C393" i="2"/>
  <c r="Q392" i="2"/>
  <c r="L392" i="2"/>
  <c r="G392" i="2"/>
  <c r="E392" i="2"/>
  <c r="C392" i="2"/>
  <c r="Q391" i="2"/>
  <c r="L391" i="2"/>
  <c r="G391" i="2"/>
  <c r="E391" i="2"/>
  <c r="C391" i="2"/>
  <c r="Q390" i="2"/>
  <c r="L390" i="2"/>
  <c r="G390" i="2"/>
  <c r="E390" i="2"/>
  <c r="C390" i="2"/>
  <c r="Q389" i="2"/>
  <c r="L389" i="2"/>
  <c r="G389" i="2"/>
  <c r="E389" i="2"/>
  <c r="C389" i="2"/>
  <c r="Q388" i="2"/>
  <c r="L388" i="2"/>
  <c r="G388" i="2"/>
  <c r="E388" i="2"/>
  <c r="C388" i="2"/>
  <c r="Q387" i="2"/>
  <c r="L387" i="2"/>
  <c r="G387" i="2"/>
  <c r="E387" i="2"/>
  <c r="C387" i="2"/>
  <c r="Q386" i="2"/>
  <c r="L386" i="2"/>
  <c r="G386" i="2"/>
  <c r="E386" i="2"/>
  <c r="C386" i="2"/>
  <c r="Q385" i="2"/>
  <c r="L385" i="2"/>
  <c r="G385" i="2"/>
  <c r="E385" i="2"/>
  <c r="C385" i="2"/>
  <c r="Q384" i="2"/>
  <c r="L384" i="2"/>
  <c r="G384" i="2"/>
  <c r="E384" i="2"/>
  <c r="C384" i="2"/>
  <c r="Q383" i="2"/>
  <c r="L383" i="2"/>
  <c r="G383" i="2"/>
  <c r="E383" i="2"/>
  <c r="C383" i="2"/>
  <c r="Q382" i="2"/>
  <c r="L382" i="2"/>
  <c r="G382" i="2"/>
  <c r="E382" i="2"/>
  <c r="C382" i="2"/>
  <c r="Q381" i="2"/>
  <c r="L381" i="2"/>
  <c r="G381" i="2"/>
  <c r="E381" i="2"/>
  <c r="C381" i="2"/>
  <c r="Q380" i="2"/>
  <c r="L380" i="2"/>
  <c r="G380" i="2"/>
  <c r="E380" i="2"/>
  <c r="C380" i="2"/>
  <c r="Q379" i="2"/>
  <c r="L379" i="2"/>
  <c r="G379" i="2"/>
  <c r="E379" i="2"/>
  <c r="C379" i="2"/>
  <c r="Q378" i="2"/>
  <c r="L378" i="2"/>
  <c r="G378" i="2"/>
  <c r="E378" i="2"/>
  <c r="C378" i="2"/>
  <c r="Q377" i="2"/>
  <c r="L377" i="2"/>
  <c r="G377" i="2"/>
  <c r="E377" i="2"/>
  <c r="C377" i="2"/>
  <c r="Q376" i="2"/>
  <c r="L376" i="2"/>
  <c r="G376" i="2"/>
  <c r="E376" i="2"/>
  <c r="C376" i="2"/>
  <c r="Q375" i="2"/>
  <c r="L375" i="2"/>
  <c r="G375" i="2"/>
  <c r="E375" i="2"/>
  <c r="C375" i="2"/>
  <c r="Q374" i="2"/>
  <c r="L374" i="2"/>
  <c r="G374" i="2"/>
  <c r="E374" i="2"/>
  <c r="C374" i="2"/>
  <c r="Q373" i="2"/>
  <c r="L373" i="2"/>
  <c r="G373" i="2"/>
  <c r="E373" i="2"/>
  <c r="C373" i="2"/>
  <c r="Q372" i="2"/>
  <c r="L372" i="2"/>
  <c r="G372" i="2"/>
  <c r="E372" i="2"/>
  <c r="C372" i="2"/>
  <c r="Q371" i="2"/>
  <c r="L371" i="2"/>
  <c r="G371" i="2"/>
  <c r="E371" i="2"/>
  <c r="C371" i="2"/>
  <c r="Q370" i="2"/>
  <c r="L370" i="2"/>
  <c r="G370" i="2"/>
  <c r="E370" i="2"/>
  <c r="C370" i="2"/>
  <c r="Q369" i="2"/>
  <c r="L369" i="2"/>
  <c r="G369" i="2"/>
  <c r="E369" i="2"/>
  <c r="C369" i="2"/>
  <c r="Q368" i="2"/>
  <c r="L368" i="2"/>
  <c r="G368" i="2"/>
  <c r="E368" i="2"/>
  <c r="C368" i="2"/>
  <c r="Q367" i="2"/>
  <c r="L367" i="2"/>
  <c r="G367" i="2"/>
  <c r="E367" i="2"/>
  <c r="C367" i="2"/>
  <c r="Q366" i="2"/>
  <c r="L366" i="2"/>
  <c r="G366" i="2"/>
  <c r="E366" i="2"/>
  <c r="C366" i="2"/>
  <c r="Q365" i="2"/>
  <c r="L365" i="2"/>
  <c r="G365" i="2"/>
  <c r="E365" i="2"/>
  <c r="C365" i="2"/>
  <c r="Q364" i="2"/>
  <c r="L364" i="2"/>
  <c r="G364" i="2"/>
  <c r="E364" i="2"/>
  <c r="C364" i="2"/>
  <c r="Q363" i="2"/>
  <c r="L363" i="2"/>
  <c r="G363" i="2"/>
  <c r="E363" i="2"/>
  <c r="C363" i="2"/>
  <c r="Q362" i="2"/>
  <c r="L362" i="2"/>
  <c r="G362" i="2"/>
  <c r="E362" i="2"/>
  <c r="C362" i="2"/>
  <c r="Q361" i="2"/>
  <c r="L361" i="2"/>
  <c r="G361" i="2"/>
  <c r="E361" i="2"/>
  <c r="C361" i="2"/>
  <c r="Q360" i="2"/>
  <c r="L360" i="2"/>
  <c r="G360" i="2"/>
  <c r="E360" i="2"/>
  <c r="C360" i="2"/>
  <c r="Q359" i="2"/>
  <c r="L359" i="2"/>
  <c r="G359" i="2"/>
  <c r="E359" i="2"/>
  <c r="C359" i="2"/>
  <c r="Q358" i="2"/>
  <c r="L358" i="2"/>
  <c r="G358" i="2"/>
  <c r="E358" i="2"/>
  <c r="C358" i="2"/>
  <c r="Q357" i="2"/>
  <c r="L357" i="2"/>
  <c r="G357" i="2"/>
  <c r="E357" i="2"/>
  <c r="C357" i="2"/>
  <c r="Q356" i="2"/>
  <c r="L356" i="2"/>
  <c r="G356" i="2"/>
  <c r="E356" i="2"/>
  <c r="C356" i="2"/>
  <c r="Q355" i="2"/>
  <c r="L355" i="2"/>
  <c r="G355" i="2"/>
  <c r="E355" i="2"/>
  <c r="C355" i="2"/>
  <c r="Q354" i="2"/>
  <c r="L354" i="2"/>
  <c r="G354" i="2"/>
  <c r="E354" i="2"/>
  <c r="C354" i="2"/>
  <c r="Q353" i="2"/>
  <c r="L353" i="2"/>
  <c r="G353" i="2"/>
  <c r="E353" i="2"/>
  <c r="C353" i="2"/>
  <c r="Q352" i="2"/>
  <c r="L352" i="2"/>
  <c r="G352" i="2"/>
  <c r="E352" i="2"/>
  <c r="C352" i="2"/>
  <c r="Q351" i="2"/>
  <c r="L351" i="2"/>
  <c r="G351" i="2"/>
  <c r="E351" i="2"/>
  <c r="C351" i="2"/>
  <c r="Q350" i="2"/>
  <c r="L350" i="2"/>
  <c r="G350" i="2"/>
  <c r="E350" i="2"/>
  <c r="C350" i="2"/>
  <c r="Q349" i="2"/>
  <c r="L349" i="2"/>
  <c r="G349" i="2"/>
  <c r="E349" i="2"/>
  <c r="C349" i="2"/>
  <c r="Q348" i="2"/>
  <c r="L348" i="2"/>
  <c r="G348" i="2"/>
  <c r="E348" i="2"/>
  <c r="C348" i="2"/>
  <c r="Q347" i="2"/>
  <c r="L347" i="2"/>
  <c r="G347" i="2"/>
  <c r="E347" i="2"/>
  <c r="C347" i="2"/>
  <c r="Q346" i="2"/>
  <c r="L346" i="2"/>
  <c r="G346" i="2"/>
  <c r="E346" i="2"/>
  <c r="C346" i="2"/>
  <c r="Q345" i="2"/>
  <c r="L345" i="2"/>
  <c r="G345" i="2"/>
  <c r="E345" i="2"/>
  <c r="C345" i="2"/>
  <c r="Q344" i="2"/>
  <c r="L344" i="2"/>
  <c r="G344" i="2"/>
  <c r="E344" i="2"/>
  <c r="C344" i="2"/>
  <c r="Q343" i="2"/>
  <c r="L343" i="2"/>
  <c r="G343" i="2"/>
  <c r="E343" i="2"/>
  <c r="C343" i="2"/>
  <c r="Q342" i="2"/>
  <c r="L342" i="2"/>
  <c r="G342" i="2"/>
  <c r="E342" i="2"/>
  <c r="C342" i="2"/>
  <c r="Q341" i="2"/>
  <c r="L341" i="2"/>
  <c r="G341" i="2"/>
  <c r="E341" i="2"/>
  <c r="C341" i="2"/>
  <c r="Q340" i="2"/>
  <c r="L340" i="2"/>
  <c r="G340" i="2"/>
  <c r="E340" i="2"/>
  <c r="C340" i="2"/>
  <c r="Q339" i="2"/>
  <c r="L339" i="2"/>
  <c r="G339" i="2"/>
  <c r="E339" i="2"/>
  <c r="C339" i="2"/>
  <c r="Q338" i="2"/>
  <c r="L338" i="2"/>
  <c r="G338" i="2"/>
  <c r="E338" i="2"/>
  <c r="C338" i="2"/>
  <c r="Q337" i="2"/>
  <c r="L337" i="2"/>
  <c r="G337" i="2"/>
  <c r="E337" i="2"/>
  <c r="C337" i="2"/>
  <c r="Q336" i="2"/>
  <c r="L336" i="2"/>
  <c r="G336" i="2"/>
  <c r="E336" i="2"/>
  <c r="C336" i="2"/>
  <c r="Q335" i="2"/>
  <c r="L335" i="2"/>
  <c r="G335" i="2"/>
  <c r="E335" i="2"/>
  <c r="C335" i="2"/>
  <c r="Q334" i="2"/>
  <c r="L334" i="2"/>
  <c r="G334" i="2"/>
  <c r="E334" i="2"/>
  <c r="C334" i="2"/>
  <c r="Q333" i="2"/>
  <c r="L333" i="2"/>
  <c r="G333" i="2"/>
  <c r="E333" i="2"/>
  <c r="C333" i="2"/>
  <c r="Q332" i="2"/>
  <c r="L332" i="2"/>
  <c r="G332" i="2"/>
  <c r="E332" i="2"/>
  <c r="C332" i="2"/>
  <c r="Q331" i="2"/>
  <c r="L331" i="2"/>
  <c r="G331" i="2"/>
  <c r="E331" i="2"/>
  <c r="C331" i="2"/>
  <c r="Q330" i="2"/>
  <c r="L330" i="2"/>
  <c r="G330" i="2"/>
  <c r="E330" i="2"/>
  <c r="C330" i="2"/>
  <c r="Q329" i="2"/>
  <c r="L329" i="2"/>
  <c r="G329" i="2"/>
  <c r="E329" i="2"/>
  <c r="C329" i="2"/>
  <c r="Q328" i="2"/>
  <c r="L328" i="2"/>
  <c r="G328" i="2"/>
  <c r="E328" i="2"/>
  <c r="C328" i="2"/>
  <c r="Q327" i="2"/>
  <c r="L327" i="2"/>
  <c r="G327" i="2"/>
  <c r="E327" i="2"/>
  <c r="C327" i="2"/>
  <c r="Q326" i="2"/>
  <c r="L326" i="2"/>
  <c r="G326" i="2"/>
  <c r="E326" i="2"/>
  <c r="C326" i="2"/>
  <c r="Q325" i="2"/>
  <c r="L325" i="2"/>
  <c r="G325" i="2"/>
  <c r="E325" i="2"/>
  <c r="C325" i="2"/>
  <c r="Q324" i="2"/>
  <c r="L324" i="2"/>
  <c r="G324" i="2"/>
  <c r="E324" i="2"/>
  <c r="C324" i="2"/>
  <c r="Q323" i="2"/>
  <c r="L323" i="2"/>
  <c r="G323" i="2"/>
  <c r="E323" i="2"/>
  <c r="C323" i="2"/>
  <c r="Q322" i="2"/>
  <c r="L322" i="2"/>
  <c r="G322" i="2"/>
  <c r="E322" i="2"/>
  <c r="C322" i="2"/>
  <c r="Q321" i="2"/>
  <c r="L321" i="2"/>
  <c r="G321" i="2"/>
  <c r="E321" i="2"/>
  <c r="C321" i="2"/>
  <c r="Q320" i="2"/>
  <c r="L320" i="2"/>
  <c r="G320" i="2"/>
  <c r="E320" i="2"/>
  <c r="C320" i="2"/>
  <c r="Q319" i="2"/>
  <c r="L319" i="2"/>
  <c r="G319" i="2"/>
  <c r="E319" i="2"/>
  <c r="C319" i="2"/>
  <c r="Q318" i="2"/>
  <c r="L318" i="2"/>
  <c r="G318" i="2"/>
  <c r="E318" i="2"/>
  <c r="C318" i="2"/>
  <c r="Q317" i="2"/>
  <c r="L317" i="2"/>
  <c r="G317" i="2"/>
  <c r="E317" i="2"/>
  <c r="C317" i="2"/>
  <c r="Q316" i="2"/>
  <c r="L316" i="2"/>
  <c r="G316" i="2"/>
  <c r="E316" i="2"/>
  <c r="C316" i="2"/>
  <c r="Q315" i="2"/>
  <c r="L315" i="2"/>
  <c r="G315" i="2"/>
  <c r="E315" i="2"/>
  <c r="C315" i="2"/>
  <c r="Q314" i="2"/>
  <c r="L314" i="2"/>
  <c r="G314" i="2"/>
  <c r="E314" i="2"/>
  <c r="C314" i="2"/>
  <c r="Q313" i="2"/>
  <c r="L313" i="2"/>
  <c r="G313" i="2"/>
  <c r="E313" i="2"/>
  <c r="C313" i="2"/>
  <c r="Q312" i="2"/>
  <c r="L312" i="2"/>
  <c r="G312" i="2"/>
  <c r="E312" i="2"/>
  <c r="C312" i="2"/>
  <c r="Q311" i="2"/>
  <c r="L311" i="2"/>
  <c r="G311" i="2"/>
  <c r="E311" i="2"/>
  <c r="C311" i="2"/>
  <c r="Q310" i="2"/>
  <c r="L310" i="2"/>
  <c r="G310" i="2"/>
  <c r="E310" i="2"/>
  <c r="C310" i="2"/>
  <c r="Q309" i="2"/>
  <c r="L309" i="2"/>
  <c r="G309" i="2"/>
  <c r="E309" i="2"/>
  <c r="C309" i="2"/>
  <c r="Q308" i="2"/>
  <c r="L308" i="2"/>
  <c r="G308" i="2"/>
  <c r="E308" i="2"/>
  <c r="C308" i="2"/>
  <c r="Q307" i="2"/>
  <c r="L307" i="2"/>
  <c r="G307" i="2"/>
  <c r="E307" i="2"/>
  <c r="C307" i="2"/>
  <c r="Q306" i="2"/>
  <c r="L306" i="2"/>
  <c r="G306" i="2"/>
  <c r="E306" i="2"/>
  <c r="C306" i="2"/>
  <c r="Q305" i="2"/>
  <c r="L305" i="2"/>
  <c r="G305" i="2"/>
  <c r="E305" i="2"/>
  <c r="C305" i="2"/>
  <c r="Q304" i="2"/>
  <c r="L304" i="2"/>
  <c r="G304" i="2"/>
  <c r="E304" i="2"/>
  <c r="C304" i="2"/>
  <c r="Q303" i="2"/>
  <c r="L303" i="2"/>
  <c r="G303" i="2"/>
  <c r="E303" i="2"/>
  <c r="C303" i="2"/>
  <c r="Q302" i="2"/>
  <c r="L302" i="2"/>
  <c r="G302" i="2"/>
  <c r="E302" i="2"/>
  <c r="C302" i="2"/>
  <c r="Q301" i="2"/>
  <c r="L301" i="2"/>
  <c r="G301" i="2"/>
  <c r="E301" i="2"/>
  <c r="C301" i="2"/>
  <c r="Q300" i="2"/>
  <c r="L300" i="2"/>
  <c r="G300" i="2"/>
  <c r="E300" i="2"/>
  <c r="C300" i="2"/>
  <c r="Q299" i="2"/>
  <c r="L299" i="2"/>
  <c r="G299" i="2"/>
  <c r="E299" i="2"/>
  <c r="C299" i="2"/>
  <c r="Q298" i="2"/>
  <c r="L298" i="2"/>
  <c r="G298" i="2"/>
  <c r="E298" i="2"/>
  <c r="C298" i="2"/>
  <c r="Q297" i="2"/>
  <c r="L297" i="2"/>
  <c r="G297" i="2"/>
  <c r="E297" i="2"/>
  <c r="C297" i="2"/>
  <c r="Q296" i="2"/>
  <c r="L296" i="2"/>
  <c r="G296" i="2"/>
  <c r="E296" i="2"/>
  <c r="C296" i="2"/>
  <c r="Q295" i="2"/>
  <c r="L295" i="2"/>
  <c r="G295" i="2"/>
  <c r="E295" i="2"/>
  <c r="C295" i="2"/>
  <c r="Q294" i="2"/>
  <c r="L294" i="2"/>
  <c r="G294" i="2"/>
  <c r="E294" i="2"/>
  <c r="C294" i="2"/>
  <c r="Q293" i="2"/>
  <c r="L293" i="2"/>
  <c r="G293" i="2"/>
  <c r="E293" i="2"/>
  <c r="C293" i="2"/>
  <c r="Q292" i="2"/>
  <c r="L292" i="2"/>
  <c r="G292" i="2"/>
  <c r="E292" i="2"/>
  <c r="C292" i="2"/>
  <c r="Q291" i="2"/>
  <c r="L291" i="2"/>
  <c r="G291" i="2"/>
  <c r="E291" i="2"/>
  <c r="C291" i="2"/>
  <c r="Q290" i="2"/>
  <c r="L290" i="2"/>
  <c r="G290" i="2"/>
  <c r="E290" i="2"/>
  <c r="C290" i="2"/>
  <c r="Q289" i="2"/>
  <c r="L289" i="2"/>
  <c r="G289" i="2"/>
  <c r="E289" i="2"/>
  <c r="C289" i="2"/>
  <c r="Q288" i="2"/>
  <c r="L288" i="2"/>
  <c r="G288" i="2"/>
  <c r="E288" i="2"/>
  <c r="C288" i="2"/>
  <c r="Q287" i="2"/>
  <c r="L287" i="2"/>
  <c r="G287" i="2"/>
  <c r="E287" i="2"/>
  <c r="C287" i="2"/>
  <c r="Q286" i="2"/>
  <c r="L286" i="2"/>
  <c r="G286" i="2"/>
  <c r="E286" i="2"/>
  <c r="C286" i="2"/>
  <c r="Q285" i="2"/>
  <c r="L285" i="2"/>
  <c r="G285" i="2"/>
  <c r="E285" i="2"/>
  <c r="C285" i="2"/>
  <c r="Q284" i="2"/>
  <c r="L284" i="2"/>
  <c r="G284" i="2"/>
  <c r="E284" i="2"/>
  <c r="C284" i="2"/>
  <c r="Q283" i="2"/>
  <c r="L283" i="2"/>
  <c r="G283" i="2"/>
  <c r="E283" i="2"/>
  <c r="C283" i="2"/>
  <c r="Q282" i="2"/>
  <c r="L282" i="2"/>
  <c r="G282" i="2"/>
  <c r="E282" i="2"/>
  <c r="C282" i="2"/>
  <c r="Q281" i="2"/>
  <c r="L281" i="2"/>
  <c r="G281" i="2"/>
  <c r="E281" i="2"/>
  <c r="C281" i="2"/>
  <c r="Q280" i="2"/>
  <c r="L280" i="2"/>
  <c r="G280" i="2"/>
  <c r="E280" i="2"/>
  <c r="C280" i="2"/>
  <c r="Q279" i="2"/>
  <c r="L279" i="2"/>
  <c r="G279" i="2"/>
  <c r="E279" i="2"/>
  <c r="C279" i="2"/>
  <c r="Q278" i="2"/>
  <c r="L278" i="2"/>
  <c r="G278" i="2"/>
  <c r="E278" i="2"/>
  <c r="C278" i="2"/>
  <c r="Q277" i="2"/>
  <c r="L277" i="2"/>
  <c r="G277" i="2"/>
  <c r="E277" i="2"/>
  <c r="C277" i="2"/>
  <c r="Q276" i="2"/>
  <c r="L276" i="2"/>
  <c r="G276" i="2"/>
  <c r="E276" i="2"/>
  <c r="C276" i="2"/>
  <c r="Q275" i="2"/>
  <c r="L275" i="2"/>
  <c r="G275" i="2"/>
  <c r="E275" i="2"/>
  <c r="C275" i="2"/>
  <c r="Q274" i="2"/>
  <c r="L274" i="2"/>
  <c r="G274" i="2"/>
  <c r="E274" i="2"/>
  <c r="C274" i="2"/>
  <c r="Q273" i="2"/>
  <c r="L273" i="2"/>
  <c r="G273" i="2"/>
  <c r="E273" i="2"/>
  <c r="C273" i="2"/>
  <c r="Q272" i="2"/>
  <c r="L272" i="2"/>
  <c r="G272" i="2"/>
  <c r="E272" i="2"/>
  <c r="C272" i="2"/>
  <c r="Q271" i="2"/>
  <c r="L271" i="2"/>
  <c r="G271" i="2"/>
  <c r="E271" i="2"/>
  <c r="C271" i="2"/>
  <c r="Q270" i="2"/>
  <c r="L270" i="2"/>
  <c r="G270" i="2"/>
  <c r="E270" i="2"/>
  <c r="C270" i="2"/>
  <c r="Q269" i="2"/>
  <c r="L269" i="2"/>
  <c r="G269" i="2"/>
  <c r="E269" i="2"/>
  <c r="C269" i="2"/>
  <c r="Q268" i="2"/>
  <c r="L268" i="2"/>
  <c r="G268" i="2"/>
  <c r="E268" i="2"/>
  <c r="C268" i="2"/>
  <c r="Q267" i="2"/>
  <c r="L267" i="2"/>
  <c r="G267" i="2"/>
  <c r="E267" i="2"/>
  <c r="C267" i="2"/>
  <c r="Q266" i="2"/>
  <c r="L266" i="2"/>
  <c r="G266" i="2"/>
  <c r="E266" i="2"/>
  <c r="C266" i="2"/>
  <c r="Q265" i="2"/>
  <c r="L265" i="2"/>
  <c r="G265" i="2"/>
  <c r="E265" i="2"/>
  <c r="C265" i="2"/>
  <c r="Q264" i="2"/>
  <c r="L264" i="2"/>
  <c r="G264" i="2"/>
  <c r="E264" i="2"/>
  <c r="C264" i="2"/>
  <c r="Q263" i="2"/>
  <c r="L263" i="2"/>
  <c r="G263" i="2"/>
  <c r="E263" i="2"/>
  <c r="C263" i="2"/>
  <c r="Q262" i="2"/>
  <c r="L262" i="2"/>
  <c r="G262" i="2"/>
  <c r="E262" i="2"/>
  <c r="C262" i="2"/>
  <c r="Q261" i="2"/>
  <c r="L261" i="2"/>
  <c r="G261" i="2"/>
  <c r="E261" i="2"/>
  <c r="C261" i="2"/>
  <c r="Q260" i="2"/>
  <c r="L260" i="2"/>
  <c r="G260" i="2"/>
  <c r="E260" i="2"/>
  <c r="C260" i="2"/>
  <c r="Q259" i="2"/>
  <c r="L259" i="2"/>
  <c r="G259" i="2"/>
  <c r="E259" i="2"/>
  <c r="C259" i="2"/>
  <c r="Q258" i="2"/>
  <c r="L258" i="2"/>
  <c r="G258" i="2"/>
  <c r="E258" i="2"/>
  <c r="C258" i="2"/>
  <c r="Q257" i="2"/>
  <c r="L257" i="2"/>
  <c r="G257" i="2"/>
  <c r="E257" i="2"/>
  <c r="C257" i="2"/>
  <c r="Q256" i="2"/>
  <c r="L256" i="2"/>
  <c r="G256" i="2"/>
  <c r="E256" i="2"/>
  <c r="C256" i="2"/>
  <c r="Q255" i="2"/>
  <c r="L255" i="2"/>
  <c r="G255" i="2"/>
  <c r="E255" i="2"/>
  <c r="C255" i="2"/>
  <c r="Q254" i="2"/>
  <c r="L254" i="2"/>
  <c r="G254" i="2"/>
  <c r="E254" i="2"/>
  <c r="C254" i="2"/>
  <c r="Q253" i="2"/>
  <c r="L253" i="2"/>
  <c r="G253" i="2"/>
  <c r="E253" i="2"/>
  <c r="C253" i="2"/>
  <c r="Q252" i="2"/>
  <c r="L252" i="2"/>
  <c r="G252" i="2"/>
  <c r="E252" i="2"/>
  <c r="C252" i="2"/>
  <c r="Q251" i="2"/>
  <c r="L251" i="2"/>
  <c r="G251" i="2"/>
  <c r="E251" i="2"/>
  <c r="C251" i="2"/>
  <c r="Q250" i="2"/>
  <c r="L250" i="2"/>
  <c r="G250" i="2"/>
  <c r="E250" i="2"/>
  <c r="C250" i="2"/>
  <c r="Q249" i="2"/>
  <c r="L249" i="2"/>
  <c r="G249" i="2"/>
  <c r="E249" i="2"/>
  <c r="C249" i="2"/>
  <c r="Q248" i="2"/>
  <c r="L248" i="2"/>
  <c r="G248" i="2"/>
  <c r="E248" i="2"/>
  <c r="C248" i="2"/>
  <c r="Q247" i="2"/>
  <c r="L247" i="2"/>
  <c r="G247" i="2"/>
  <c r="E247" i="2"/>
  <c r="C247" i="2"/>
  <c r="Q246" i="2"/>
  <c r="L246" i="2"/>
  <c r="G246" i="2"/>
  <c r="E246" i="2"/>
  <c r="C246" i="2"/>
  <c r="Q245" i="2"/>
  <c r="L245" i="2"/>
  <c r="G245" i="2"/>
  <c r="E245" i="2"/>
  <c r="C245" i="2"/>
  <c r="Q244" i="2"/>
  <c r="L244" i="2"/>
  <c r="G244" i="2"/>
  <c r="E244" i="2"/>
  <c r="C244" i="2"/>
  <c r="Q243" i="2"/>
  <c r="L243" i="2"/>
  <c r="G243" i="2"/>
  <c r="E243" i="2"/>
  <c r="C243" i="2"/>
  <c r="Q242" i="2"/>
  <c r="L242" i="2"/>
  <c r="G242" i="2"/>
  <c r="E242" i="2"/>
  <c r="C242" i="2"/>
  <c r="Q241" i="2"/>
  <c r="L241" i="2"/>
  <c r="G241" i="2"/>
  <c r="E241" i="2"/>
  <c r="C241" i="2"/>
  <c r="Q240" i="2"/>
  <c r="L240" i="2"/>
  <c r="G240" i="2"/>
  <c r="E240" i="2"/>
  <c r="C240" i="2"/>
  <c r="Q239" i="2"/>
  <c r="L239" i="2"/>
  <c r="G239" i="2"/>
  <c r="E239" i="2"/>
  <c r="C239" i="2"/>
  <c r="Q238" i="2"/>
  <c r="L238" i="2"/>
  <c r="G238" i="2"/>
  <c r="E238" i="2"/>
  <c r="C238" i="2"/>
  <c r="Q237" i="2"/>
  <c r="L237" i="2"/>
  <c r="G237" i="2"/>
  <c r="E237" i="2"/>
  <c r="C237" i="2"/>
  <c r="Q236" i="2"/>
  <c r="L236" i="2"/>
  <c r="G236" i="2"/>
  <c r="E236" i="2"/>
  <c r="C236" i="2"/>
  <c r="Q235" i="2"/>
  <c r="L235" i="2"/>
  <c r="G235" i="2"/>
  <c r="E235" i="2"/>
  <c r="C235" i="2"/>
  <c r="Q234" i="2"/>
  <c r="L234" i="2"/>
  <c r="G234" i="2"/>
  <c r="E234" i="2"/>
  <c r="C234" i="2"/>
  <c r="Q233" i="2"/>
  <c r="L233" i="2"/>
  <c r="G233" i="2"/>
  <c r="E233" i="2"/>
  <c r="C233" i="2"/>
  <c r="Q232" i="2"/>
  <c r="L232" i="2"/>
  <c r="G232" i="2"/>
  <c r="E232" i="2"/>
  <c r="C232" i="2"/>
  <c r="Q231" i="2"/>
  <c r="L231" i="2"/>
  <c r="G231" i="2"/>
  <c r="E231" i="2"/>
  <c r="C231" i="2"/>
  <c r="Q230" i="2"/>
  <c r="L230" i="2"/>
  <c r="G230" i="2"/>
  <c r="E230" i="2"/>
  <c r="C230" i="2"/>
  <c r="Q229" i="2"/>
  <c r="L229" i="2"/>
  <c r="G229" i="2"/>
  <c r="E229" i="2"/>
  <c r="C229" i="2"/>
  <c r="Q228" i="2"/>
  <c r="L228" i="2"/>
  <c r="G228" i="2"/>
  <c r="E228" i="2"/>
  <c r="C228" i="2"/>
  <c r="Q227" i="2"/>
  <c r="L227" i="2"/>
  <c r="G227" i="2"/>
  <c r="E227" i="2"/>
  <c r="C227" i="2"/>
  <c r="Q226" i="2"/>
  <c r="L226" i="2"/>
  <c r="G226" i="2"/>
  <c r="E226" i="2"/>
  <c r="C226" i="2"/>
  <c r="Q225" i="2"/>
  <c r="L225" i="2"/>
  <c r="G225" i="2"/>
  <c r="E225" i="2"/>
  <c r="C225" i="2"/>
  <c r="Q224" i="2"/>
  <c r="L224" i="2"/>
  <c r="G224" i="2"/>
  <c r="E224" i="2"/>
  <c r="C224" i="2"/>
  <c r="Q223" i="2"/>
  <c r="L223" i="2"/>
  <c r="G223" i="2"/>
  <c r="E223" i="2"/>
  <c r="C223" i="2"/>
  <c r="Q222" i="2"/>
  <c r="L222" i="2"/>
  <c r="G222" i="2"/>
  <c r="E222" i="2"/>
  <c r="C222" i="2"/>
  <c r="Q221" i="2"/>
  <c r="L221" i="2"/>
  <c r="G221" i="2"/>
  <c r="E221" i="2"/>
  <c r="C221" i="2"/>
  <c r="Q220" i="2"/>
  <c r="L220" i="2"/>
  <c r="G220" i="2"/>
  <c r="E220" i="2"/>
  <c r="C220" i="2"/>
  <c r="Q219" i="2"/>
  <c r="L219" i="2"/>
  <c r="G219" i="2"/>
  <c r="E219" i="2"/>
  <c r="C219" i="2"/>
  <c r="Q218" i="2"/>
  <c r="L218" i="2"/>
  <c r="G218" i="2"/>
  <c r="E218" i="2"/>
  <c r="C218" i="2"/>
  <c r="Q217" i="2"/>
  <c r="L217" i="2"/>
  <c r="G217" i="2"/>
  <c r="E217" i="2"/>
  <c r="C217" i="2"/>
  <c r="Q216" i="2"/>
  <c r="L216" i="2"/>
  <c r="G216" i="2"/>
  <c r="E216" i="2"/>
  <c r="C216" i="2"/>
  <c r="Q215" i="2"/>
  <c r="L215" i="2"/>
  <c r="G215" i="2"/>
  <c r="E215" i="2"/>
  <c r="C215" i="2"/>
  <c r="Q214" i="2"/>
  <c r="L214" i="2"/>
  <c r="G214" i="2"/>
  <c r="E214" i="2"/>
  <c r="C214" i="2"/>
  <c r="Q213" i="2"/>
  <c r="L213" i="2"/>
  <c r="G213" i="2"/>
  <c r="E213" i="2"/>
  <c r="C213" i="2"/>
  <c r="Q212" i="2"/>
  <c r="L212" i="2"/>
  <c r="G212" i="2"/>
  <c r="E212" i="2"/>
  <c r="C212" i="2"/>
  <c r="Q211" i="2"/>
  <c r="L211" i="2"/>
  <c r="G211" i="2"/>
  <c r="E211" i="2"/>
  <c r="C211" i="2"/>
  <c r="Q210" i="2"/>
  <c r="L210" i="2"/>
  <c r="G210" i="2"/>
  <c r="E210" i="2"/>
  <c r="C210" i="2"/>
  <c r="Q209" i="2"/>
  <c r="L209" i="2"/>
  <c r="G209" i="2"/>
  <c r="E209" i="2"/>
  <c r="C209" i="2"/>
  <c r="Q208" i="2"/>
  <c r="L208" i="2"/>
  <c r="G208" i="2"/>
  <c r="E208" i="2"/>
  <c r="C208" i="2"/>
  <c r="Q207" i="2"/>
  <c r="L207" i="2"/>
  <c r="G207" i="2"/>
  <c r="E207" i="2"/>
  <c r="C207" i="2"/>
  <c r="Q206" i="2"/>
  <c r="L206" i="2"/>
  <c r="G206" i="2"/>
  <c r="E206" i="2"/>
  <c r="C206" i="2"/>
  <c r="Q205" i="2"/>
  <c r="L205" i="2"/>
  <c r="G205" i="2"/>
  <c r="E205" i="2"/>
  <c r="C205" i="2"/>
  <c r="Q204" i="2"/>
  <c r="L204" i="2"/>
  <c r="G204" i="2"/>
  <c r="E204" i="2"/>
  <c r="C204" i="2"/>
  <c r="Q203" i="2"/>
  <c r="L203" i="2"/>
  <c r="G203" i="2"/>
  <c r="E203" i="2"/>
  <c r="C203" i="2"/>
  <c r="Q202" i="2"/>
  <c r="L202" i="2"/>
  <c r="G202" i="2"/>
  <c r="E202" i="2"/>
  <c r="C202" i="2"/>
  <c r="Q201" i="2"/>
  <c r="L201" i="2"/>
  <c r="G201" i="2"/>
  <c r="E201" i="2"/>
  <c r="C201" i="2"/>
  <c r="Q200" i="2"/>
  <c r="L200" i="2"/>
  <c r="G200" i="2"/>
  <c r="E200" i="2"/>
  <c r="C200" i="2"/>
  <c r="Q199" i="2"/>
  <c r="L199" i="2"/>
  <c r="G199" i="2"/>
  <c r="E199" i="2"/>
  <c r="C199" i="2"/>
  <c r="Q198" i="2"/>
  <c r="L198" i="2"/>
  <c r="G198" i="2"/>
  <c r="E198" i="2"/>
  <c r="C198" i="2"/>
  <c r="Q197" i="2"/>
  <c r="L197" i="2"/>
  <c r="G197" i="2"/>
  <c r="E197" i="2"/>
  <c r="C197" i="2"/>
  <c r="Q196" i="2"/>
  <c r="L196" i="2"/>
  <c r="G196" i="2"/>
  <c r="E196" i="2"/>
  <c r="C196" i="2"/>
  <c r="Q195" i="2"/>
  <c r="L195" i="2"/>
  <c r="G195" i="2"/>
  <c r="E195" i="2"/>
  <c r="C195" i="2"/>
  <c r="Q194" i="2"/>
  <c r="L194" i="2"/>
  <c r="G194" i="2"/>
  <c r="E194" i="2"/>
  <c r="C194" i="2"/>
  <c r="Q193" i="2"/>
  <c r="L193" i="2"/>
  <c r="G193" i="2"/>
  <c r="E193" i="2"/>
  <c r="C193" i="2"/>
  <c r="Q192" i="2"/>
  <c r="L192" i="2"/>
  <c r="G192" i="2"/>
  <c r="E192" i="2"/>
  <c r="C192" i="2"/>
  <c r="Q191" i="2"/>
  <c r="L191" i="2"/>
  <c r="G191" i="2"/>
  <c r="E191" i="2"/>
  <c r="C191" i="2"/>
  <c r="Q190" i="2"/>
  <c r="L190" i="2"/>
  <c r="G190" i="2"/>
  <c r="E190" i="2"/>
  <c r="C190" i="2"/>
  <c r="Q189" i="2"/>
  <c r="L189" i="2"/>
  <c r="G189" i="2"/>
  <c r="E189" i="2"/>
  <c r="C189" i="2"/>
  <c r="Q188" i="2"/>
  <c r="L188" i="2"/>
  <c r="G188" i="2"/>
  <c r="E188" i="2"/>
  <c r="C188" i="2"/>
  <c r="Q187" i="2"/>
  <c r="L187" i="2"/>
  <c r="G187" i="2"/>
  <c r="E187" i="2"/>
  <c r="C187" i="2"/>
  <c r="Q186" i="2"/>
  <c r="L186" i="2"/>
  <c r="G186" i="2"/>
  <c r="E186" i="2"/>
  <c r="C186" i="2"/>
  <c r="Q185" i="2"/>
  <c r="L185" i="2"/>
  <c r="G185" i="2"/>
  <c r="E185" i="2"/>
  <c r="C185" i="2"/>
  <c r="Q184" i="2"/>
  <c r="L184" i="2"/>
  <c r="G184" i="2"/>
  <c r="E184" i="2"/>
  <c r="C184" i="2"/>
  <c r="Q183" i="2"/>
  <c r="L183" i="2"/>
  <c r="G183" i="2"/>
  <c r="E183" i="2"/>
  <c r="C183" i="2"/>
  <c r="Q182" i="2"/>
  <c r="L182" i="2"/>
  <c r="G182" i="2"/>
  <c r="E182" i="2"/>
  <c r="C182" i="2"/>
  <c r="Q181" i="2"/>
  <c r="L181" i="2"/>
  <c r="G181" i="2"/>
  <c r="E181" i="2"/>
  <c r="C181" i="2"/>
  <c r="Q180" i="2"/>
  <c r="L180" i="2"/>
  <c r="G180" i="2"/>
  <c r="E180" i="2"/>
  <c r="C180" i="2"/>
  <c r="Q179" i="2"/>
  <c r="L179" i="2"/>
  <c r="G179" i="2"/>
  <c r="E179" i="2"/>
  <c r="C179" i="2"/>
  <c r="Q178" i="2"/>
  <c r="L178" i="2"/>
  <c r="G178" i="2"/>
  <c r="E178" i="2"/>
  <c r="C178" i="2"/>
  <c r="Q177" i="2"/>
  <c r="L177" i="2"/>
  <c r="G177" i="2"/>
  <c r="E177" i="2"/>
  <c r="C177" i="2"/>
  <c r="Q176" i="2"/>
  <c r="L176" i="2"/>
  <c r="G176" i="2"/>
  <c r="E176" i="2"/>
  <c r="C176" i="2"/>
  <c r="Q175" i="2"/>
  <c r="L175" i="2"/>
  <c r="G175" i="2"/>
  <c r="E175" i="2"/>
  <c r="C175" i="2"/>
  <c r="Q174" i="2"/>
  <c r="L174" i="2"/>
  <c r="G174" i="2"/>
  <c r="E174" i="2"/>
  <c r="C174" i="2"/>
  <c r="Q173" i="2"/>
  <c r="L173" i="2"/>
  <c r="G173" i="2"/>
  <c r="E173" i="2"/>
  <c r="C173" i="2"/>
  <c r="Q172" i="2"/>
  <c r="L172" i="2"/>
  <c r="G172" i="2"/>
  <c r="E172" i="2"/>
  <c r="C172" i="2"/>
  <c r="Q171" i="2"/>
  <c r="L171" i="2"/>
  <c r="G171" i="2"/>
  <c r="E171" i="2"/>
  <c r="C171" i="2"/>
  <c r="Q170" i="2"/>
  <c r="L170" i="2"/>
  <c r="G170" i="2"/>
  <c r="E170" i="2"/>
  <c r="C170" i="2"/>
  <c r="Q169" i="2"/>
  <c r="L169" i="2"/>
  <c r="G169" i="2"/>
  <c r="E169" i="2"/>
  <c r="C169" i="2"/>
  <c r="Q168" i="2"/>
  <c r="L168" i="2"/>
  <c r="G168" i="2"/>
  <c r="E168" i="2"/>
  <c r="C168" i="2"/>
  <c r="Q167" i="2"/>
  <c r="L167" i="2"/>
  <c r="G167" i="2"/>
  <c r="E167" i="2"/>
  <c r="C167" i="2"/>
  <c r="Q166" i="2"/>
  <c r="L166" i="2"/>
  <c r="G166" i="2"/>
  <c r="E166" i="2"/>
  <c r="C166" i="2"/>
  <c r="Q165" i="2"/>
  <c r="L165" i="2"/>
  <c r="G165" i="2"/>
  <c r="E165" i="2"/>
  <c r="C165" i="2"/>
  <c r="Q164" i="2"/>
  <c r="L164" i="2"/>
  <c r="G164" i="2"/>
  <c r="E164" i="2"/>
  <c r="C164" i="2"/>
  <c r="Q163" i="2"/>
  <c r="L163" i="2"/>
  <c r="G163" i="2"/>
  <c r="E163" i="2"/>
  <c r="C163" i="2"/>
  <c r="Q162" i="2"/>
  <c r="L162" i="2"/>
  <c r="G162" i="2"/>
  <c r="E162" i="2"/>
  <c r="C162" i="2"/>
  <c r="Q161" i="2"/>
  <c r="L161" i="2"/>
  <c r="G161" i="2"/>
  <c r="E161" i="2"/>
  <c r="C161" i="2"/>
  <c r="Q160" i="2"/>
  <c r="L160" i="2"/>
  <c r="G160" i="2"/>
  <c r="E160" i="2"/>
  <c r="C160" i="2"/>
  <c r="Q159" i="2"/>
  <c r="L159" i="2"/>
  <c r="G159" i="2"/>
  <c r="E159" i="2"/>
  <c r="C159" i="2"/>
  <c r="Q158" i="2"/>
  <c r="L158" i="2"/>
  <c r="G158" i="2"/>
  <c r="E158" i="2"/>
  <c r="C158" i="2"/>
  <c r="Q157" i="2"/>
  <c r="L157" i="2"/>
  <c r="G157" i="2"/>
  <c r="E157" i="2"/>
  <c r="C157" i="2"/>
  <c r="Q156" i="2"/>
  <c r="L156" i="2"/>
  <c r="G156" i="2"/>
  <c r="E156" i="2"/>
  <c r="C156" i="2"/>
  <c r="Q155" i="2"/>
  <c r="L155" i="2"/>
  <c r="G155" i="2"/>
  <c r="E155" i="2"/>
  <c r="C155" i="2"/>
  <c r="Q154" i="2"/>
  <c r="L154" i="2"/>
  <c r="G154" i="2"/>
  <c r="E154" i="2"/>
  <c r="C154" i="2"/>
  <c r="Q153" i="2"/>
  <c r="L153" i="2"/>
  <c r="G153" i="2"/>
  <c r="E153" i="2"/>
  <c r="C153" i="2"/>
  <c r="Q152" i="2"/>
  <c r="L152" i="2"/>
  <c r="G152" i="2"/>
  <c r="E152" i="2"/>
  <c r="C152" i="2"/>
  <c r="Q151" i="2"/>
  <c r="L151" i="2"/>
  <c r="G151" i="2"/>
  <c r="E151" i="2"/>
  <c r="C151" i="2"/>
  <c r="Q150" i="2"/>
  <c r="L150" i="2"/>
  <c r="G150" i="2"/>
  <c r="E150" i="2"/>
  <c r="C150" i="2"/>
  <c r="Q149" i="2"/>
  <c r="L149" i="2"/>
  <c r="G149" i="2"/>
  <c r="E149" i="2"/>
  <c r="C149" i="2"/>
  <c r="Q148" i="2"/>
  <c r="L148" i="2"/>
  <c r="G148" i="2"/>
  <c r="E148" i="2"/>
  <c r="C148" i="2"/>
  <c r="Q147" i="2"/>
  <c r="L147" i="2"/>
  <c r="G147" i="2"/>
  <c r="E147" i="2"/>
  <c r="C147" i="2"/>
  <c r="Q146" i="2"/>
  <c r="L146" i="2"/>
  <c r="G146" i="2"/>
  <c r="E146" i="2"/>
  <c r="C146" i="2"/>
  <c r="Q145" i="2"/>
  <c r="L145" i="2"/>
  <c r="G145" i="2"/>
  <c r="E145" i="2"/>
  <c r="C145" i="2"/>
  <c r="Q144" i="2"/>
  <c r="L144" i="2"/>
  <c r="G144" i="2"/>
  <c r="E144" i="2"/>
  <c r="C144" i="2"/>
  <c r="Q143" i="2"/>
  <c r="L143" i="2"/>
  <c r="G143" i="2"/>
  <c r="E143" i="2"/>
  <c r="C143" i="2"/>
  <c r="Q142" i="2"/>
  <c r="L142" i="2"/>
  <c r="G142" i="2"/>
  <c r="E142" i="2"/>
  <c r="C142" i="2"/>
  <c r="Q141" i="2"/>
  <c r="L141" i="2"/>
  <c r="G141" i="2"/>
  <c r="E141" i="2"/>
  <c r="C141" i="2"/>
  <c r="Q140" i="2"/>
  <c r="L140" i="2"/>
  <c r="G140" i="2"/>
  <c r="E140" i="2"/>
  <c r="C140" i="2"/>
  <c r="Q139" i="2"/>
  <c r="L139" i="2"/>
  <c r="G139" i="2"/>
  <c r="E139" i="2"/>
  <c r="C139" i="2"/>
  <c r="Q138" i="2"/>
  <c r="L138" i="2"/>
  <c r="G138" i="2"/>
  <c r="E138" i="2"/>
  <c r="C138" i="2"/>
  <c r="Q137" i="2"/>
  <c r="L137" i="2"/>
  <c r="G137" i="2"/>
  <c r="E137" i="2"/>
  <c r="C137" i="2"/>
  <c r="Q136" i="2"/>
  <c r="L136" i="2"/>
  <c r="G136" i="2"/>
  <c r="E136" i="2"/>
  <c r="C136" i="2"/>
  <c r="Q135" i="2"/>
  <c r="L135" i="2"/>
  <c r="G135" i="2"/>
  <c r="E135" i="2"/>
  <c r="C135" i="2"/>
  <c r="Q134" i="2"/>
  <c r="L134" i="2"/>
  <c r="G134" i="2"/>
  <c r="E134" i="2"/>
  <c r="C134" i="2"/>
  <c r="Q133" i="2"/>
  <c r="L133" i="2"/>
  <c r="G133" i="2"/>
  <c r="E133" i="2"/>
  <c r="C133" i="2"/>
  <c r="Q132" i="2"/>
  <c r="L132" i="2"/>
  <c r="G132" i="2"/>
  <c r="E132" i="2"/>
  <c r="C132" i="2"/>
  <c r="Q131" i="2"/>
  <c r="L131" i="2"/>
  <c r="G131" i="2"/>
  <c r="E131" i="2"/>
  <c r="C131" i="2"/>
  <c r="Q130" i="2"/>
  <c r="L130" i="2"/>
  <c r="G130" i="2"/>
  <c r="E130" i="2"/>
  <c r="C130" i="2"/>
  <c r="Q129" i="2"/>
  <c r="L129" i="2"/>
  <c r="G129" i="2"/>
  <c r="E129" i="2"/>
  <c r="C129" i="2"/>
  <c r="Q128" i="2"/>
  <c r="L128" i="2"/>
  <c r="G128" i="2"/>
  <c r="E128" i="2"/>
  <c r="C128" i="2"/>
  <c r="Q127" i="2"/>
  <c r="L127" i="2"/>
  <c r="G127" i="2"/>
  <c r="E127" i="2"/>
  <c r="C127" i="2"/>
  <c r="Q126" i="2"/>
  <c r="L126" i="2"/>
  <c r="G126" i="2"/>
  <c r="E126" i="2"/>
  <c r="C126" i="2"/>
  <c r="Q125" i="2"/>
  <c r="L125" i="2"/>
  <c r="G125" i="2"/>
  <c r="E125" i="2"/>
  <c r="C125" i="2"/>
  <c r="Q124" i="2"/>
  <c r="L124" i="2"/>
  <c r="G124" i="2"/>
  <c r="E124" i="2"/>
  <c r="C124" i="2"/>
  <c r="Q123" i="2"/>
  <c r="L123" i="2"/>
  <c r="G123" i="2"/>
  <c r="E123" i="2"/>
  <c r="C123" i="2"/>
  <c r="Q122" i="2"/>
  <c r="L122" i="2"/>
  <c r="G122" i="2"/>
  <c r="E122" i="2"/>
  <c r="C122" i="2"/>
  <c r="Q121" i="2"/>
  <c r="L121" i="2"/>
  <c r="G121" i="2"/>
  <c r="E121" i="2"/>
  <c r="C121" i="2"/>
  <c r="Q120" i="2"/>
  <c r="L120" i="2"/>
  <c r="G120" i="2"/>
  <c r="E120" i="2"/>
  <c r="C120" i="2"/>
  <c r="Q119" i="2"/>
  <c r="L119" i="2"/>
  <c r="G119" i="2"/>
  <c r="E119" i="2"/>
  <c r="C119" i="2"/>
  <c r="Q118" i="2"/>
  <c r="L118" i="2"/>
  <c r="G118" i="2"/>
  <c r="E118" i="2"/>
  <c r="C118" i="2"/>
  <c r="Q117" i="2"/>
  <c r="L117" i="2"/>
  <c r="G117" i="2"/>
  <c r="E117" i="2"/>
  <c r="C117" i="2"/>
  <c r="Q116" i="2"/>
  <c r="L116" i="2"/>
  <c r="G116" i="2"/>
  <c r="E116" i="2"/>
  <c r="C116" i="2"/>
  <c r="Q115" i="2"/>
  <c r="L115" i="2"/>
  <c r="G115" i="2"/>
  <c r="E115" i="2"/>
  <c r="C115" i="2"/>
  <c r="Q114" i="2"/>
  <c r="L114" i="2"/>
  <c r="G114" i="2"/>
  <c r="E114" i="2"/>
  <c r="C114" i="2"/>
  <c r="Q113" i="2"/>
  <c r="L113" i="2"/>
  <c r="G113" i="2"/>
  <c r="E113" i="2"/>
  <c r="C113" i="2"/>
  <c r="Q112" i="2"/>
  <c r="L112" i="2"/>
  <c r="G112" i="2"/>
  <c r="E112" i="2"/>
  <c r="C112" i="2"/>
  <c r="Q111" i="2"/>
  <c r="L111" i="2"/>
  <c r="G111" i="2"/>
  <c r="E111" i="2"/>
  <c r="C111" i="2"/>
  <c r="Q110" i="2"/>
  <c r="L110" i="2"/>
  <c r="G110" i="2"/>
  <c r="E110" i="2"/>
  <c r="C110" i="2"/>
  <c r="Q109" i="2"/>
  <c r="L109" i="2"/>
  <c r="G109" i="2"/>
  <c r="E109" i="2"/>
  <c r="C109" i="2"/>
  <c r="Q108" i="2"/>
  <c r="L108" i="2"/>
  <c r="G108" i="2"/>
  <c r="E108" i="2"/>
  <c r="C108" i="2"/>
  <c r="Q107" i="2"/>
  <c r="L107" i="2"/>
  <c r="G107" i="2"/>
  <c r="E107" i="2"/>
  <c r="C107" i="2"/>
  <c r="Q106" i="2"/>
  <c r="L106" i="2"/>
  <c r="G106" i="2"/>
  <c r="E106" i="2"/>
  <c r="C106" i="2"/>
  <c r="Q105" i="2"/>
  <c r="L105" i="2"/>
  <c r="G105" i="2"/>
  <c r="E105" i="2"/>
  <c r="C105" i="2"/>
  <c r="Q104" i="2"/>
  <c r="L104" i="2"/>
  <c r="G104" i="2"/>
  <c r="E104" i="2"/>
  <c r="C104" i="2"/>
  <c r="Q103" i="2"/>
  <c r="L103" i="2"/>
  <c r="G103" i="2"/>
  <c r="E103" i="2"/>
  <c r="C103" i="2"/>
  <c r="Q102" i="2"/>
  <c r="L102" i="2"/>
  <c r="G102" i="2"/>
  <c r="E102" i="2"/>
  <c r="C102" i="2"/>
  <c r="Q101" i="2"/>
  <c r="L101" i="2"/>
  <c r="G101" i="2"/>
  <c r="E101" i="2"/>
  <c r="C101" i="2"/>
  <c r="Q100" i="2"/>
  <c r="L100" i="2"/>
  <c r="G100" i="2"/>
  <c r="E100" i="2"/>
  <c r="C100" i="2"/>
  <c r="Q99" i="2"/>
  <c r="L99" i="2"/>
  <c r="G99" i="2"/>
  <c r="E99" i="2"/>
  <c r="C99" i="2"/>
  <c r="Q98" i="2"/>
  <c r="L98" i="2"/>
  <c r="G98" i="2"/>
  <c r="E98" i="2"/>
  <c r="C98" i="2"/>
  <c r="Q97" i="2"/>
  <c r="L97" i="2"/>
  <c r="G97" i="2"/>
  <c r="E97" i="2"/>
  <c r="C97" i="2"/>
  <c r="Q96" i="2"/>
  <c r="L96" i="2"/>
  <c r="G96" i="2"/>
  <c r="E96" i="2"/>
  <c r="C96" i="2"/>
  <c r="Q95" i="2"/>
  <c r="L95" i="2"/>
  <c r="G95" i="2"/>
  <c r="E95" i="2"/>
  <c r="C95" i="2"/>
  <c r="Q94" i="2"/>
  <c r="L94" i="2"/>
  <c r="G94" i="2"/>
  <c r="E94" i="2"/>
  <c r="C94" i="2"/>
  <c r="Q93" i="2"/>
  <c r="L93" i="2"/>
  <c r="G93" i="2"/>
  <c r="E93" i="2"/>
  <c r="C93" i="2"/>
  <c r="Q92" i="2"/>
  <c r="L92" i="2"/>
  <c r="G92" i="2"/>
  <c r="E92" i="2"/>
  <c r="C92" i="2"/>
  <c r="Q91" i="2"/>
  <c r="L91" i="2"/>
  <c r="G91" i="2"/>
  <c r="E91" i="2"/>
  <c r="C91" i="2"/>
  <c r="Q90" i="2"/>
  <c r="L90" i="2"/>
  <c r="G90" i="2"/>
  <c r="E90" i="2"/>
  <c r="C90" i="2"/>
  <c r="Q89" i="2"/>
  <c r="L89" i="2"/>
  <c r="G89" i="2"/>
  <c r="E89" i="2"/>
  <c r="C89" i="2"/>
  <c r="Q88" i="2"/>
  <c r="L88" i="2"/>
  <c r="G88" i="2"/>
  <c r="E88" i="2"/>
  <c r="C88" i="2"/>
  <c r="Q87" i="2"/>
  <c r="L87" i="2"/>
  <c r="G87" i="2"/>
  <c r="E87" i="2"/>
  <c r="C87" i="2"/>
  <c r="Q86" i="2"/>
  <c r="L86" i="2"/>
  <c r="G86" i="2"/>
  <c r="E86" i="2"/>
  <c r="C86" i="2"/>
  <c r="Q85" i="2"/>
  <c r="L85" i="2"/>
  <c r="G85" i="2"/>
  <c r="E85" i="2"/>
  <c r="C85" i="2"/>
  <c r="Q84" i="2"/>
  <c r="L84" i="2"/>
  <c r="G84" i="2"/>
  <c r="E84" i="2"/>
  <c r="C84" i="2"/>
  <c r="Q83" i="2"/>
  <c r="L83" i="2"/>
  <c r="G83" i="2"/>
  <c r="E83" i="2"/>
  <c r="C83" i="2"/>
  <c r="Q82" i="2"/>
  <c r="L82" i="2"/>
  <c r="G82" i="2"/>
  <c r="E82" i="2"/>
  <c r="C82" i="2"/>
  <c r="Q81" i="2"/>
  <c r="L81" i="2"/>
  <c r="G81" i="2"/>
  <c r="E81" i="2"/>
  <c r="C81" i="2"/>
  <c r="Q80" i="2"/>
  <c r="L80" i="2"/>
  <c r="G80" i="2"/>
  <c r="E80" i="2"/>
  <c r="C80" i="2"/>
  <c r="Q79" i="2"/>
  <c r="L79" i="2"/>
  <c r="G79" i="2"/>
  <c r="E79" i="2"/>
  <c r="C79" i="2"/>
  <c r="Q78" i="2"/>
  <c r="L78" i="2"/>
  <c r="G78" i="2"/>
  <c r="E78" i="2"/>
  <c r="C78" i="2"/>
  <c r="Q77" i="2"/>
  <c r="L77" i="2"/>
  <c r="G77" i="2"/>
  <c r="E77" i="2"/>
  <c r="C77" i="2"/>
  <c r="Q76" i="2"/>
  <c r="L76" i="2"/>
  <c r="G76" i="2"/>
  <c r="E76" i="2"/>
  <c r="C76" i="2"/>
  <c r="Q75" i="2"/>
  <c r="L75" i="2"/>
  <c r="G75" i="2"/>
  <c r="E75" i="2"/>
  <c r="C75" i="2"/>
  <c r="Q74" i="2"/>
  <c r="L74" i="2"/>
  <c r="G74" i="2"/>
  <c r="E74" i="2"/>
  <c r="C74" i="2"/>
  <c r="Q73" i="2"/>
  <c r="L73" i="2"/>
  <c r="G73" i="2"/>
  <c r="E73" i="2"/>
  <c r="C73" i="2"/>
  <c r="Q72" i="2"/>
  <c r="L72" i="2"/>
  <c r="G72" i="2"/>
  <c r="E72" i="2"/>
  <c r="C72" i="2"/>
  <c r="Q71" i="2"/>
  <c r="L71" i="2"/>
  <c r="G71" i="2"/>
  <c r="E71" i="2"/>
  <c r="C71" i="2"/>
  <c r="Q70" i="2"/>
  <c r="L70" i="2"/>
  <c r="G70" i="2"/>
  <c r="E70" i="2"/>
  <c r="C70" i="2"/>
  <c r="Q69" i="2"/>
  <c r="L69" i="2"/>
  <c r="G69" i="2"/>
  <c r="E69" i="2"/>
  <c r="C69" i="2"/>
  <c r="Q68" i="2"/>
  <c r="L68" i="2"/>
  <c r="G68" i="2"/>
  <c r="E68" i="2"/>
  <c r="C68" i="2"/>
  <c r="Q67" i="2"/>
  <c r="L67" i="2"/>
  <c r="G67" i="2"/>
  <c r="E67" i="2"/>
  <c r="C67" i="2"/>
  <c r="Q66" i="2"/>
  <c r="L66" i="2"/>
  <c r="G66" i="2"/>
  <c r="E66" i="2"/>
  <c r="C66" i="2"/>
  <c r="Q65" i="2"/>
  <c r="L65" i="2"/>
  <c r="G65" i="2"/>
  <c r="E65" i="2"/>
  <c r="C65" i="2"/>
  <c r="Q64" i="2"/>
  <c r="L64" i="2"/>
  <c r="G64" i="2"/>
  <c r="E64" i="2"/>
  <c r="C64" i="2"/>
  <c r="Q63" i="2"/>
  <c r="L63" i="2"/>
  <c r="G63" i="2"/>
  <c r="E63" i="2"/>
  <c r="C63" i="2"/>
  <c r="Q62" i="2"/>
  <c r="L62" i="2"/>
  <c r="G62" i="2"/>
  <c r="E62" i="2"/>
  <c r="C62" i="2"/>
  <c r="Q61" i="2"/>
  <c r="L61" i="2"/>
  <c r="G61" i="2"/>
  <c r="E61" i="2"/>
  <c r="C61" i="2"/>
  <c r="Q60" i="2"/>
  <c r="L60" i="2"/>
  <c r="G60" i="2"/>
  <c r="E60" i="2"/>
  <c r="C60" i="2"/>
  <c r="Q59" i="2"/>
  <c r="L59" i="2"/>
  <c r="G59" i="2"/>
  <c r="E59" i="2"/>
  <c r="C59" i="2"/>
  <c r="Q58" i="2"/>
  <c r="L58" i="2"/>
  <c r="G58" i="2"/>
  <c r="E58" i="2"/>
  <c r="C58" i="2"/>
  <c r="Q57" i="2"/>
  <c r="L57" i="2"/>
  <c r="G57" i="2"/>
  <c r="E57" i="2"/>
  <c r="C57" i="2"/>
  <c r="Q56" i="2"/>
  <c r="L56" i="2"/>
  <c r="G56" i="2"/>
  <c r="E56" i="2"/>
  <c r="C56" i="2"/>
  <c r="Q55" i="2"/>
  <c r="L55" i="2"/>
  <c r="G55" i="2"/>
  <c r="E55" i="2"/>
  <c r="C55" i="2"/>
  <c r="Q54" i="2"/>
  <c r="L54" i="2"/>
  <c r="G54" i="2"/>
  <c r="E54" i="2"/>
  <c r="C54" i="2"/>
  <c r="Q53" i="2"/>
  <c r="L53" i="2"/>
  <c r="G53" i="2"/>
  <c r="E53" i="2"/>
  <c r="C53" i="2"/>
  <c r="Q52" i="2"/>
  <c r="L52" i="2"/>
  <c r="G52" i="2"/>
  <c r="E52" i="2"/>
  <c r="C52" i="2"/>
  <c r="Q51" i="2"/>
  <c r="L51" i="2"/>
  <c r="G51" i="2"/>
  <c r="E51" i="2"/>
  <c r="C51" i="2"/>
  <c r="Q50" i="2"/>
  <c r="L50" i="2"/>
  <c r="G50" i="2"/>
  <c r="E50" i="2"/>
  <c r="C50" i="2"/>
  <c r="Q49" i="2"/>
  <c r="L49" i="2"/>
  <c r="G49" i="2"/>
  <c r="E49" i="2"/>
  <c r="C49" i="2"/>
  <c r="Q48" i="2"/>
  <c r="L48" i="2"/>
  <c r="G48" i="2"/>
  <c r="E48" i="2"/>
  <c r="C48" i="2"/>
  <c r="Q47" i="2"/>
  <c r="L47" i="2"/>
  <c r="G47" i="2"/>
  <c r="E47" i="2"/>
  <c r="C47" i="2"/>
  <c r="Q46" i="2"/>
  <c r="L46" i="2"/>
  <c r="G46" i="2"/>
  <c r="E46" i="2"/>
  <c r="C46" i="2"/>
  <c r="Q45" i="2"/>
  <c r="L45" i="2"/>
  <c r="G45" i="2"/>
  <c r="E45" i="2"/>
  <c r="C45" i="2"/>
  <c r="Q44" i="2"/>
  <c r="L44" i="2"/>
  <c r="G44" i="2"/>
  <c r="E44" i="2"/>
  <c r="C44" i="2"/>
  <c r="Q43" i="2"/>
  <c r="L43" i="2"/>
  <c r="G43" i="2"/>
  <c r="E43" i="2"/>
  <c r="C43" i="2"/>
  <c r="Q42" i="2"/>
  <c r="L42" i="2"/>
  <c r="G42" i="2"/>
  <c r="E42" i="2"/>
  <c r="C42" i="2"/>
  <c r="Q41" i="2"/>
  <c r="L41" i="2"/>
  <c r="G41" i="2"/>
  <c r="E41" i="2"/>
  <c r="C41" i="2"/>
  <c r="Q40" i="2"/>
  <c r="L40" i="2"/>
  <c r="G40" i="2"/>
  <c r="E40" i="2"/>
  <c r="C40" i="2"/>
  <c r="Q39" i="2"/>
  <c r="L39" i="2"/>
  <c r="G39" i="2"/>
  <c r="E39" i="2"/>
  <c r="C39" i="2"/>
  <c r="Q38" i="2"/>
  <c r="L38" i="2"/>
  <c r="G38" i="2"/>
  <c r="E38" i="2"/>
  <c r="C38" i="2"/>
  <c r="Q37" i="2"/>
  <c r="L37" i="2"/>
  <c r="G37" i="2"/>
  <c r="E37" i="2"/>
  <c r="C37" i="2"/>
  <c r="Q36" i="2"/>
  <c r="L36" i="2"/>
  <c r="G36" i="2"/>
  <c r="E36" i="2"/>
  <c r="C36" i="2"/>
  <c r="Q35" i="2"/>
  <c r="L35" i="2"/>
  <c r="G35" i="2"/>
  <c r="E35" i="2"/>
  <c r="C35" i="2"/>
  <c r="Q34" i="2"/>
  <c r="L34" i="2"/>
  <c r="G34" i="2"/>
  <c r="E34" i="2"/>
  <c r="C34" i="2"/>
  <c r="Q33" i="2"/>
  <c r="L33" i="2"/>
  <c r="G33" i="2"/>
  <c r="E33" i="2"/>
  <c r="C33" i="2"/>
  <c r="Q32" i="2"/>
  <c r="L32" i="2"/>
  <c r="G32" i="2"/>
  <c r="E32" i="2"/>
  <c r="C32" i="2"/>
  <c r="Q31" i="2"/>
  <c r="L31" i="2"/>
  <c r="G31" i="2"/>
  <c r="E31" i="2"/>
  <c r="C31" i="2"/>
  <c r="Q30" i="2"/>
  <c r="L30" i="2"/>
  <c r="G30" i="2"/>
  <c r="E30" i="2"/>
  <c r="C30" i="2"/>
  <c r="Q29" i="2"/>
  <c r="L29" i="2"/>
  <c r="G29" i="2"/>
  <c r="E29" i="2"/>
  <c r="C29" i="2"/>
  <c r="Q28" i="2"/>
  <c r="L28" i="2"/>
  <c r="G28" i="2"/>
  <c r="E28" i="2"/>
  <c r="C28" i="2"/>
  <c r="Q27" i="2"/>
  <c r="L27" i="2"/>
  <c r="G27" i="2"/>
  <c r="E27" i="2"/>
  <c r="C27" i="2"/>
  <c r="Q26" i="2"/>
  <c r="L26" i="2"/>
  <c r="G26" i="2"/>
  <c r="E26" i="2"/>
  <c r="C26" i="2"/>
  <c r="Q25" i="2"/>
  <c r="L25" i="2"/>
  <c r="G25" i="2"/>
  <c r="E25" i="2"/>
  <c r="C25" i="2"/>
  <c r="Q24" i="2"/>
  <c r="L24" i="2"/>
  <c r="G24" i="2"/>
  <c r="E24" i="2"/>
  <c r="C24" i="2"/>
  <c r="Q23" i="2"/>
  <c r="L23" i="2"/>
  <c r="G23" i="2"/>
  <c r="E23" i="2"/>
  <c r="C23" i="2"/>
  <c r="Q22" i="2"/>
  <c r="L22" i="2"/>
  <c r="G22" i="2"/>
  <c r="E22" i="2"/>
  <c r="C22" i="2"/>
  <c r="Q21" i="2"/>
  <c r="L21" i="2"/>
  <c r="G21" i="2"/>
  <c r="E21" i="2"/>
  <c r="C21" i="2"/>
  <c r="Q20" i="2"/>
  <c r="L20" i="2"/>
  <c r="G20" i="2"/>
  <c r="E20" i="2"/>
  <c r="C20" i="2"/>
  <c r="Q19" i="2"/>
  <c r="L19" i="2"/>
  <c r="G19" i="2"/>
  <c r="E19" i="2"/>
  <c r="C19" i="2"/>
  <c r="Q18" i="2"/>
  <c r="L18" i="2"/>
  <c r="G18" i="2"/>
  <c r="E18" i="2"/>
  <c r="C18" i="2"/>
  <c r="Q17" i="2"/>
  <c r="L17" i="2"/>
  <c r="G17" i="2"/>
  <c r="E17" i="2"/>
  <c r="C17" i="2"/>
  <c r="Q16" i="2"/>
  <c r="L16" i="2"/>
  <c r="G16" i="2"/>
  <c r="E16" i="2"/>
  <c r="C16" i="2"/>
  <c r="Q15" i="2"/>
  <c r="L15" i="2"/>
  <c r="G15" i="2"/>
  <c r="E15" i="2"/>
  <c r="C15" i="2"/>
  <c r="Q14" i="2"/>
  <c r="L14" i="2"/>
  <c r="G14" i="2"/>
  <c r="E14" i="2"/>
  <c r="C14" i="2"/>
  <c r="Q13" i="2"/>
  <c r="L13" i="2"/>
  <c r="G13" i="2"/>
  <c r="E13" i="2"/>
  <c r="C13" i="2"/>
  <c r="Q12" i="2"/>
  <c r="L12" i="2"/>
  <c r="G12" i="2"/>
  <c r="E12" i="2"/>
  <c r="C12" i="2"/>
  <c r="Q11" i="2"/>
  <c r="L11" i="2"/>
  <c r="G11" i="2"/>
  <c r="E11" i="2"/>
  <c r="C11" i="2"/>
  <c r="Q10" i="2"/>
  <c r="L10" i="2"/>
  <c r="G10" i="2"/>
  <c r="E10" i="2"/>
  <c r="C10" i="2"/>
  <c r="Q9" i="2"/>
  <c r="L9" i="2"/>
  <c r="G9" i="2"/>
  <c r="E9" i="2"/>
  <c r="C9" i="2"/>
  <c r="Q8" i="2"/>
  <c r="L8" i="2"/>
  <c r="G8" i="2"/>
  <c r="E8" i="2"/>
  <c r="C8" i="2"/>
  <c r="Q7" i="2"/>
  <c r="L7" i="2"/>
  <c r="G7" i="2"/>
  <c r="E7" i="2"/>
  <c r="C7" i="2"/>
  <c r="Q6" i="2"/>
  <c r="L6" i="2"/>
  <c r="G6" i="2"/>
  <c r="E6" i="2"/>
  <c r="C6" i="2"/>
  <c r="Q5" i="2"/>
  <c r="L5" i="2"/>
  <c r="G5" i="2"/>
  <c r="E5" i="2"/>
  <c r="C5" i="2"/>
  <c r="Q4" i="2"/>
  <c r="L4" i="2"/>
  <c r="G4" i="2"/>
  <c r="E4" i="2"/>
  <c r="C4" i="2"/>
  <c r="Q3" i="2"/>
  <c r="L3" i="2"/>
  <c r="G3" i="2"/>
  <c r="E3" i="2"/>
  <c r="C3" i="2"/>
  <c r="Q2" i="2"/>
  <c r="L2" i="2"/>
  <c r="G2" i="2"/>
  <c r="E2" i="2"/>
  <c r="C2" i="2"/>
  <c r="D11" i="10" l="1"/>
  <c r="C5" i="11"/>
  <c r="S11" i="5"/>
  <c r="S13" i="5"/>
  <c r="D26" i="9"/>
  <c r="C15" i="9"/>
  <c r="B20" i="9" s="1"/>
  <c r="E8" i="9"/>
  <c r="S15" i="5"/>
  <c r="S22" i="5" s="1"/>
  <c r="E12" i="5"/>
  <c r="E14" i="5"/>
  <c r="D12" i="5"/>
  <c r="D13" i="5"/>
  <c r="S14" i="5"/>
  <c r="D10" i="7"/>
  <c r="D13" i="7"/>
  <c r="P10" i="7"/>
  <c r="P15" i="7" s="1"/>
  <c r="P8" i="7"/>
  <c r="D14" i="7"/>
  <c r="D9" i="7"/>
  <c r="A15" i="7" s="1"/>
  <c r="P9" i="7"/>
  <c r="P14" i="7" s="1"/>
  <c r="V14" i="9"/>
  <c r="Z14" i="9"/>
  <c r="V15" i="9"/>
  <c r="Z15" i="9"/>
  <c r="X16" i="9"/>
  <c r="D14" i="8"/>
  <c r="D10" i="8"/>
  <c r="D15" i="8" s="1"/>
  <c r="X15" i="9"/>
  <c r="V16" i="9"/>
  <c r="D12" i="10"/>
  <c r="D13" i="10"/>
  <c r="D14" i="10"/>
  <c r="D15" i="10"/>
  <c r="D23" i="10" s="1"/>
  <c r="D11" i="5"/>
  <c r="S12" i="5"/>
  <c r="D14" i="5"/>
  <c r="D15" i="5"/>
  <c r="D22" i="5" s="1"/>
  <c r="D8" i="7"/>
  <c r="D27" i="9"/>
  <c r="C16" i="9"/>
  <c r="E9" i="9"/>
  <c r="B26" i="9" s="1"/>
  <c r="D28" i="9"/>
  <c r="C17" i="9"/>
  <c r="E10" i="9"/>
  <c r="A15" i="9"/>
  <c r="A20" i="9" s="1"/>
  <c r="S8" i="9"/>
  <c r="S14" i="9" s="1"/>
  <c r="C15" i="7"/>
  <c r="P22" i="5" l="1"/>
  <c r="S21" i="5"/>
  <c r="P21" i="5" s="1"/>
  <c r="F17" i="9"/>
  <c r="D15" i="9"/>
  <c r="P13" i="7"/>
  <c r="N13" i="7" s="1"/>
  <c r="S19" i="5"/>
  <c r="R19" i="5" s="1"/>
  <c r="R22" i="5"/>
  <c r="Q22" i="5"/>
  <c r="D17" i="9"/>
  <c r="B22" i="9"/>
  <c r="C27" i="9"/>
  <c r="B27" i="9"/>
  <c r="A27" i="9"/>
  <c r="P19" i="5"/>
  <c r="D21" i="10"/>
  <c r="C26" i="9"/>
  <c r="Q21" i="5"/>
  <c r="R21" i="5"/>
  <c r="C28" i="9"/>
  <c r="B28" i="9"/>
  <c r="A28" i="9"/>
  <c r="B31" i="9" s="1"/>
  <c r="B15" i="7"/>
  <c r="D18" i="5"/>
  <c r="D20" i="10"/>
  <c r="A15" i="8"/>
  <c r="C15" i="8"/>
  <c r="B15" i="8"/>
  <c r="M14" i="7"/>
  <c r="O14" i="7"/>
  <c r="N14" i="7"/>
  <c r="M15" i="7"/>
  <c r="O15" i="7"/>
  <c r="N15" i="7"/>
  <c r="D20" i="5"/>
  <c r="S20" i="5"/>
  <c r="B22" i="5"/>
  <c r="C22" i="5"/>
  <c r="A22" i="5"/>
  <c r="C23" i="10"/>
  <c r="B23" i="10"/>
  <c r="A23" i="10"/>
  <c r="D19" i="10"/>
  <c r="B14" i="8"/>
  <c r="A14" i="8"/>
  <c r="C14" i="8"/>
  <c r="E14" i="8" s="1"/>
  <c r="B13" i="7"/>
  <c r="A13" i="7"/>
  <c r="C13" i="7"/>
  <c r="D19" i="5"/>
  <c r="B21" i="9"/>
  <c r="D16" i="9"/>
  <c r="F16" i="9"/>
  <c r="D21" i="5"/>
  <c r="D22" i="10"/>
  <c r="A26" i="9"/>
  <c r="F15" i="9"/>
  <c r="A14" i="7"/>
  <c r="C14" i="7"/>
  <c r="B14" i="7"/>
  <c r="S18" i="5"/>
  <c r="S13" i="7" l="1"/>
  <c r="O13" i="7"/>
  <c r="Q19" i="5"/>
  <c r="M13" i="7"/>
  <c r="B21" i="5"/>
  <c r="C21" i="5"/>
  <c r="A21" i="5"/>
  <c r="A19" i="5"/>
  <c r="C19" i="5"/>
  <c r="B19" i="5"/>
  <c r="W19" i="5"/>
  <c r="P18" i="5"/>
  <c r="R18" i="5"/>
  <c r="Q18" i="5"/>
  <c r="C20" i="10"/>
  <c r="B20" i="10"/>
  <c r="A20" i="10"/>
  <c r="Q20" i="5"/>
  <c r="R20" i="5"/>
  <c r="P20" i="5"/>
  <c r="A18" i="5"/>
  <c r="C18" i="5"/>
  <c r="B18" i="5"/>
  <c r="C22" i="9"/>
  <c r="C36" i="9" s="1"/>
  <c r="C22" i="10"/>
  <c r="B22" i="10"/>
  <c r="A22" i="10"/>
  <c r="C21" i="9"/>
  <c r="C20" i="9"/>
  <c r="C19" i="10"/>
  <c r="B19" i="10"/>
  <c r="A26" i="10"/>
  <c r="A19" i="10"/>
  <c r="B20" i="5"/>
  <c r="C20" i="5"/>
  <c r="A20" i="5"/>
  <c r="E15" i="8"/>
  <c r="C21" i="10"/>
  <c r="B21" i="10"/>
  <c r="A21" i="10"/>
  <c r="C35" i="9" l="1"/>
  <c r="B35" i="9" s="1"/>
  <c r="A36" i="9"/>
  <c r="B36" i="9"/>
  <c r="C34" i="9"/>
  <c r="A35" i="9" l="1"/>
  <c r="B39" i="9"/>
  <c r="B38" i="9"/>
  <c r="B34" i="9"/>
  <c r="A34" i="9"/>
</calcChain>
</file>

<file path=xl/sharedStrings.xml><?xml version="1.0" encoding="utf-8"?>
<sst xmlns="http://schemas.openxmlformats.org/spreadsheetml/2006/main" count="26429" uniqueCount="95">
  <si>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</si>
  <si>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</si>
  <si>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</si>
  <si>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</si>
  <si>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</si>
  <si>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</si>
  <si>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</si>
  <si>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</si>
  <si>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</si>
  <si>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</si>
  <si>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</si>
  <si>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</si>
  <si>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</si>
  <si>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</si>
  <si>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</si>
  <si>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</si>
  <si>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</si>
  <si>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</si>
  <si>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</si>
  <si>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</si>
  <si>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</si>
  <si>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</si>
  <si>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</si>
  <si>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</si>
  <si>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</si>
  <si>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</si>
  <si>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</si>
  <si>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</si>
  <si>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</si>
  <si>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</si>
  <si>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</si>
  <si>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</si>
  <si>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</si>
  <si>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</si>
  <si>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</si>
  <si>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</si>
  <si>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Gender_N</t>
  </si>
  <si>
    <t>Marital_Status</t>
  </si>
  <si>
    <t>Home_Status</t>
  </si>
  <si>
    <t>Income_Group</t>
  </si>
  <si>
    <t>Age_Group</t>
  </si>
  <si>
    <t>Married</t>
  </si>
  <si>
    <t>Single</t>
  </si>
  <si>
    <t>Female</t>
  </si>
  <si>
    <t>Male</t>
  </si>
  <si>
    <t>Lower Class</t>
  </si>
  <si>
    <t>Middle Class</t>
  </si>
  <si>
    <t>Upper Middle Class</t>
  </si>
  <si>
    <t>Tenant</t>
  </si>
  <si>
    <t>35 to 44 yrs</t>
  </si>
  <si>
    <t>55 to 64 yrs</t>
  </si>
  <si>
    <t>45 to 54 yrs</t>
  </si>
  <si>
    <t>25 to 34 yrs</t>
  </si>
  <si>
    <t>65 yrs &amp; Above</t>
  </si>
  <si>
    <t>SumProds</t>
  </si>
  <si>
    <t>CountIf</t>
  </si>
  <si>
    <t>Visits</t>
  </si>
  <si>
    <t>CountIfs</t>
  </si>
  <si>
    <t>Visits &amp; Marital Status</t>
  </si>
  <si>
    <t>Location</t>
  </si>
  <si>
    <t>Visits &amp; Gender</t>
  </si>
  <si>
    <t xml:space="preserve"> Purchased</t>
  </si>
  <si>
    <t>Rank</t>
  </si>
  <si>
    <t>Visit</t>
  </si>
  <si>
    <t>Purchased</t>
  </si>
  <si>
    <t>Rank (DESC)</t>
  </si>
  <si>
    <t>Rank DESC</t>
  </si>
  <si>
    <t>How many Customers Visited &amp; Purchased by Age Group ?</t>
  </si>
  <si>
    <t>CVR</t>
  </si>
  <si>
    <t>Visits (Marital Status, Gender,Location)</t>
  </si>
  <si>
    <t>Purchased(Marital Status, Gender, Location)</t>
  </si>
  <si>
    <t>Visit(Gender, Marital Status)</t>
  </si>
  <si>
    <t>No Purchase(Gender, Marital Status)</t>
  </si>
  <si>
    <t>Purchase</t>
  </si>
  <si>
    <t>Purchase(Gender, Marital Status)</t>
  </si>
  <si>
    <t>No Purchase</t>
  </si>
  <si>
    <t>Bub. Size</t>
  </si>
  <si>
    <t>Bub.Size</t>
  </si>
  <si>
    <t xml:space="preserve">Summary of Original Unfiltered </t>
  </si>
  <si>
    <t>Commute_Distance</t>
  </si>
  <si>
    <t>Visit(Gender, Marital Status, Region)</t>
  </si>
  <si>
    <t>f(Gender, Marital Status, Region</t>
  </si>
  <si>
    <t>SumProd</t>
  </si>
  <si>
    <t>All Data</t>
  </si>
  <si>
    <t>CustomerID</t>
  </si>
  <si>
    <t>HPC:</t>
  </si>
  <si>
    <t>HPC = Highest Purchasing Customers</t>
  </si>
  <si>
    <t>HPC=</t>
  </si>
  <si>
    <t>UNFILTERED</t>
  </si>
  <si>
    <t>DATASET</t>
  </si>
  <si>
    <t xml:space="preserve">USING THE </t>
  </si>
  <si>
    <t>FILTERS</t>
  </si>
  <si>
    <t xml:space="preserve">          Dataset</t>
  </si>
  <si>
    <t>Highest Purchasers:</t>
  </si>
  <si>
    <t>Highest CVR: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</si>
</sst>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Aptos Narrow"/>
    </font>
    <font>
      <sz val="16"/>
      <color theme="1"/>
      <name val="Aptos Narrow"/>
    </font>
    <font>
      <b/>
      <sz val="18"/>
      <color theme="1"/>
      <name val="Aptos Narrow"/>
    </font>
    <font>
      <b/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/>
    </xf>
    <xf numFmtId="9" fontId="0" fillId="0" borderId="0" xfId="1" applyNumberFormat="1" applyFont="1"/>
    <xf numFmtId="1" fontId="0" fillId="0" borderId="0" xfId="0" applyNumberFormat="1"/>
    <xf numFmtId="0" fontId="8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5" fillId="3" borderId="0" xfId="0" applyFont="1" applyFill="1" applyAlignment="1" applyProtection="1">
      <alignment horizontal="centerContinuous"/>
    </xf>
    <xf numFmtId="0" fontId="0" fillId="3" borderId="0" xfId="0" applyFill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5" fillId="3" borderId="0" xfId="0" applyFont="1" applyFill="1" applyAlignment="1" applyProtection="1">
      <alignment horizontal="centerContinuous" vertical="center"/>
    </xf>
    <xf numFmtId="0" fontId="0" fillId="3" borderId="0" xfId="0" applyFill="1" applyAlignment="1" applyProtection="1">
      <alignment horizontal="centerContinuous" vertical="center"/>
    </xf>
    <xf numFmtId="0" fontId="0" fillId="3" borderId="0" xfId="0" applyFill="1" applyAlignment="1" applyProtection="1">
      <alignment vertical="center"/>
    </xf>
    <xf numFmtId="0" fontId="7" fillId="4" borderId="0" xfId="0" applyFont="1" applyFill="1" applyAlignment="1" applyProtection="1">
      <alignment horizontal="center"/>
    </xf>
    <xf numFmtId="0" fontId="0" fillId="0" borderId="0" xfId="0" applyFill="1" applyProtection="1"/>
  </cellXfs>
  <cellStyles count="2">
    <cellStyle name="Normal" xfId="0" builtinId="0"/>
    <cellStyle name="Percent" xfId="1" builtinId="5"/>
  </cellStyles>
  <dxfs count="3"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 Behavior by Age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 Group. 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2.8500773722702952E-3"/>
          <c:y val="1.204036458333333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51832453142894"/>
          <c:y val="0.15165538194444445"/>
          <c:w val="0.75016589793220323"/>
          <c:h val="0.805991753472222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Age_Group_Visit_Purchased!$B$17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Age_Group_Visit_Purchased!$A$18:$A$22</c:f>
              <c:strCache>
                <c:ptCount val="5"/>
                <c:pt idx="0">
                  <c:v>65 yrs &amp; Above</c:v>
                </c:pt>
                <c:pt idx="1">
                  <c:v>55 to 64 yrs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Age_Group_Visit_Purchased!$B$18:$B$22</c:f>
              <c:numCache>
                <c:formatCode>General</c:formatCode>
                <c:ptCount val="5"/>
                <c:pt idx="0">
                  <c:v>59</c:v>
                </c:pt>
                <c:pt idx="1">
                  <c:v>130</c:v>
                </c:pt>
                <c:pt idx="2">
                  <c:v>220</c:v>
                </c:pt>
                <c:pt idx="3">
                  <c:v>260</c:v>
                </c:pt>
                <c:pt idx="4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A-48FB-83FE-0B2B5404FE6C}"/>
            </c:ext>
          </c:extLst>
        </c:ser>
        <c:ser>
          <c:idx val="1"/>
          <c:order val="1"/>
          <c:tx>
            <c:strRef>
              <c:f>Age_Group_Visit_Purchased!$C$17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99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Age_Group_Visit_Purchased!$A$18:$A$22</c:f>
              <c:strCache>
                <c:ptCount val="5"/>
                <c:pt idx="0">
                  <c:v>65 yrs &amp; Above</c:v>
                </c:pt>
                <c:pt idx="1">
                  <c:v>55 to 64 yrs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Age_Group_Visit_Purchased!$C$18:$C$22</c:f>
              <c:numCache>
                <c:formatCode>General</c:formatCode>
                <c:ptCount val="5"/>
                <c:pt idx="0">
                  <c:v>17</c:v>
                </c:pt>
                <c:pt idx="1">
                  <c:v>42</c:v>
                </c:pt>
                <c:pt idx="2">
                  <c:v>93</c:v>
                </c:pt>
                <c:pt idx="3">
                  <c:v>132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A-48FB-83FE-0B2B5404F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16395376"/>
        <c:axId val="587863264"/>
      </c:barChart>
      <c:catAx>
        <c:axId val="5163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587863264"/>
        <c:crosses val="autoZero"/>
        <c:auto val="1"/>
        <c:lblAlgn val="ctr"/>
        <c:lblOffset val="100"/>
        <c:noMultiLvlLbl val="0"/>
      </c:catAx>
      <c:valAx>
        <c:axId val="58786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3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923125306601354"/>
          <c:y val="1.4013020833333388E-2"/>
          <c:w val="0.2801713273190754"/>
          <c:h val="9.3018229166666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 Behavior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by Income Class.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2.5740449110527928E-3"/>
          <c:y val="5.729166666666666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84957713619135"/>
          <c:y val="0.15119835069444446"/>
          <c:w val="0.71055374744823563"/>
          <c:h val="0.78885633680555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'Income Group'!$B$12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Group'!$A$13:$A$15</c:f>
              <c:strCache>
                <c:ptCount val="3"/>
                <c:pt idx="0">
                  <c:v>Upper Middle Class</c:v>
                </c:pt>
                <c:pt idx="1">
                  <c:v>Lower Class</c:v>
                </c:pt>
                <c:pt idx="2">
                  <c:v>Middle Class</c:v>
                </c:pt>
              </c:strCache>
            </c:strRef>
          </c:cat>
          <c:val>
            <c:numRef>
              <c:f>'Income Group'!$B$13:$B$15</c:f>
              <c:numCache>
                <c:formatCode>General</c:formatCode>
                <c:ptCount val="3"/>
                <c:pt idx="0">
                  <c:v>60</c:v>
                </c:pt>
                <c:pt idx="1">
                  <c:v>476</c:v>
                </c:pt>
                <c:pt idx="2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F-47BA-9E45-50798B5F0405}"/>
            </c:ext>
          </c:extLst>
        </c:ser>
        <c:ser>
          <c:idx val="1"/>
          <c:order val="1"/>
          <c:tx>
            <c:strRef>
              <c:f>'Income Group'!$C$12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Group'!$A$13:$A$15</c:f>
              <c:strCache>
                <c:ptCount val="3"/>
                <c:pt idx="0">
                  <c:v>Upper Middle Class</c:v>
                </c:pt>
                <c:pt idx="1">
                  <c:v>Lower Class</c:v>
                </c:pt>
                <c:pt idx="2">
                  <c:v>Middle Class</c:v>
                </c:pt>
              </c:strCache>
            </c:strRef>
          </c:cat>
          <c:val>
            <c:numRef>
              <c:f>'Income Group'!$C$13:$C$15</c:f>
              <c:numCache>
                <c:formatCode>General</c:formatCode>
                <c:ptCount val="3"/>
                <c:pt idx="0">
                  <c:v>32</c:v>
                </c:pt>
                <c:pt idx="1">
                  <c:v>223</c:v>
                </c:pt>
                <c:pt idx="2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9F-47BA-9E45-50798B5F04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0364128"/>
        <c:axId val="1171943600"/>
      </c:barChart>
      <c:catAx>
        <c:axId val="58036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171943600"/>
        <c:crosses val="autoZero"/>
        <c:auto val="1"/>
        <c:lblAlgn val="ctr"/>
        <c:lblOffset val="100"/>
        <c:noMultiLvlLbl val="0"/>
      </c:catAx>
      <c:valAx>
        <c:axId val="1171943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036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874412365121032"/>
          <c:y val="8.5008680555556087E-3"/>
          <c:w val="0.2795487897346165"/>
          <c:h val="9.3018229166666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chemeClr val="tx1"/>
                </a:solidFill>
                <a:latin typeface="Aptos Narrow" panose="02110004020202020204"/>
              </a:rPr>
              <a:t> Patronage by Age Group</a:t>
            </a:r>
            <a:endParaRPr lang="en-US" sz="1100" b="1">
              <a:solidFill>
                <a:schemeClr val="tx1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3.546991480298189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Age_Group_Visit_Purchased!$Q$17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Age_Group_Visit_Purchased!$P$18:$P$22</c:f>
              <c:strCache>
                <c:ptCount val="5"/>
                <c:pt idx="0">
                  <c:v>55 to 64 yrs</c:v>
                </c:pt>
                <c:pt idx="1">
                  <c:v>65 yrs &amp; Above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Age_Group_Visit_Purchased!$Q$18:$Q$22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25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7-4095-BF27-17329042B08A}"/>
            </c:ext>
          </c:extLst>
        </c:ser>
        <c:ser>
          <c:idx val="1"/>
          <c:order val="1"/>
          <c:tx>
            <c:strRef>
              <c:f>Age_Group_Visit_Purchased!$R$17</c:f>
              <c:strCache>
                <c:ptCount val="1"/>
                <c:pt idx="0">
                  <c:v> 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Age_Group_Visit_Purchased!$P$18:$P$22</c:f>
              <c:strCache>
                <c:ptCount val="5"/>
                <c:pt idx="0">
                  <c:v>55 to 64 yrs</c:v>
                </c:pt>
                <c:pt idx="1">
                  <c:v>65 yrs &amp; Above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Age_Group_Visit_Purchased!$R$18:$R$22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13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7-4095-BF27-17329042B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16382976"/>
        <c:axId val="1683001600"/>
      </c:barChart>
      <c:catAx>
        <c:axId val="5163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683001600"/>
        <c:crosses val="autoZero"/>
        <c:auto val="1"/>
        <c:lblAlgn val="ctr"/>
        <c:lblOffset val="100"/>
        <c:noMultiLvlLbl val="0"/>
      </c:catAx>
      <c:valAx>
        <c:axId val="1683001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3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430444621938239"/>
          <c:y val="2.3073115085770843E-4"/>
          <c:w val="0.27272586084487044"/>
          <c:h val="9.2255440046490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chemeClr val="tx1"/>
                </a:solidFill>
                <a:latin typeface="Aptos Narrow" panose="02110004020202020204"/>
              </a:rPr>
              <a:t>Conversion</a:t>
            </a:r>
            <a:r>
              <a:rPr lang="en-US" sz="900" b="1" baseline="0">
                <a:solidFill>
                  <a:schemeClr val="tx1"/>
                </a:solidFill>
                <a:latin typeface="Aptos Narrow" panose="02110004020202020204"/>
              </a:rPr>
              <a:t> Rate (CVR) in Age Group</a:t>
            </a:r>
            <a:endParaRPr lang="en-US" sz="900" b="1">
              <a:solidFill>
                <a:schemeClr val="tx1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6.8460388639761029E-3"/>
          <c:y val="1.2882447665056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56348057389684"/>
          <c:y val="0.11729316444140135"/>
          <c:w val="0.46581594341066107"/>
          <c:h val="0.8827068355585986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A-4040-B8DE-6C97B74E72E2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A-4040-B8DE-6C97B74E72E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4A-4040-B8DE-6C97B74E72E2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4A-4040-B8DE-6C97B74E72E2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4A-4040-B8DE-6C97B74E72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Age_Group_Visit_Purchased!$A$11:$A$15</c:f>
              <c:strCache>
                <c:ptCount val="5"/>
                <c:pt idx="0">
                  <c:v>35 to 44 yrs</c:v>
                </c:pt>
                <c:pt idx="1">
                  <c:v>55 to 64 yrs</c:v>
                </c:pt>
                <c:pt idx="2">
                  <c:v>45 to 54 yrs</c:v>
                </c:pt>
                <c:pt idx="3">
                  <c:v>25 to 34 yrs</c:v>
                </c:pt>
                <c:pt idx="4">
                  <c:v>65 yrs &amp; Above</c:v>
                </c:pt>
              </c:strCache>
            </c:strRef>
          </c:cat>
          <c:val>
            <c:numRef>
              <c:f>Age_Group_Visit_Purchased!$E$11:$E$15</c:f>
              <c:numCache>
                <c:formatCode>0%</c:formatCode>
                <c:ptCount val="5"/>
                <c:pt idx="0">
                  <c:v>0.595166163141994</c:v>
                </c:pt>
                <c:pt idx="1">
                  <c:v>0.32307692307692309</c:v>
                </c:pt>
                <c:pt idx="2">
                  <c:v>0.50769230769230766</c:v>
                </c:pt>
                <c:pt idx="3">
                  <c:v>0.42272727272727273</c:v>
                </c:pt>
                <c:pt idx="4">
                  <c:v>0.28813559322033899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4A-4040-B8DE-6C97B74E72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18028541134341"/>
          <c:y val="2.1611829771278592E-2"/>
          <c:w val="0.36853681968999158"/>
          <c:h val="0.93398354191233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chemeClr val="tx1"/>
                </a:solidFill>
                <a:latin typeface="Aptos Narrow" panose="02110004020202020204"/>
              </a:rPr>
              <a:t> Patronage by Income Class</a:t>
            </a:r>
            <a:endParaRPr lang="en-US" sz="1100" b="1">
              <a:solidFill>
                <a:schemeClr val="tx1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9.867891513560806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Group'!$N$12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Group'!$M$13:$M$15</c:f>
              <c:strCache>
                <c:ptCount val="3"/>
                <c:pt idx="0">
                  <c:v>Middle Class</c:v>
                </c:pt>
                <c:pt idx="1">
                  <c:v>Upper Middle Class</c:v>
                </c:pt>
                <c:pt idx="2">
                  <c:v>Lower Class</c:v>
                </c:pt>
              </c:strCache>
            </c:strRef>
          </c:cat>
          <c:val>
            <c:numRef>
              <c:f>'Income Group'!$N$13:$N$15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1-4793-928A-AB3FB912BAB7}"/>
            </c:ext>
          </c:extLst>
        </c:ser>
        <c:ser>
          <c:idx val="1"/>
          <c:order val="1"/>
          <c:tx>
            <c:strRef>
              <c:f>'Income Group'!$O$12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Group'!$M$13:$M$15</c:f>
              <c:strCache>
                <c:ptCount val="3"/>
                <c:pt idx="0">
                  <c:v>Middle Class</c:v>
                </c:pt>
                <c:pt idx="1">
                  <c:v>Upper Middle Class</c:v>
                </c:pt>
                <c:pt idx="2">
                  <c:v>Lower Class</c:v>
                </c:pt>
              </c:strCache>
            </c:strRef>
          </c:cat>
          <c:val>
            <c:numRef>
              <c:f>'Income Group'!$O$13:$O$15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1-4793-928A-AB3FB912BA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5921375"/>
        <c:axId val="1698571872"/>
      </c:barChart>
      <c:catAx>
        <c:axId val="94592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698571872"/>
        <c:crosses val="autoZero"/>
        <c:auto val="1"/>
        <c:lblAlgn val="ctr"/>
        <c:lblOffset val="100"/>
        <c:noMultiLvlLbl val="0"/>
      </c:catAx>
      <c:valAx>
        <c:axId val="1698571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562817147856518"/>
          <c:y val="6.8241469816272989E-4"/>
          <c:w val="0.26207699037620297"/>
          <c:h val="9.2213760165225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  <a:latin typeface="Aptos Narrow" panose="02110004020202020204"/>
              </a:rPr>
              <a:t>Customer</a:t>
            </a:r>
            <a:r>
              <a:rPr lang="en-US" sz="1050" b="1" baseline="0">
                <a:solidFill>
                  <a:sysClr val="windowText" lastClr="000000"/>
                </a:solidFill>
                <a:latin typeface="Aptos Narrow" panose="02110004020202020204"/>
              </a:rPr>
              <a:t> Patronage, CVR by Region</a:t>
            </a:r>
            <a:endParaRPr lang="en-US" sz="105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2.7420543809482753E-4"/>
          <c:y val="1.2269938650306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Location!$C$14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Location!$A$15:$A$17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Location!$C$15:$C$17</c:f>
              <c:numCache>
                <c:formatCode>General</c:formatCode>
                <c:ptCount val="3"/>
                <c:pt idx="0">
                  <c:v>38</c:v>
                </c:pt>
                <c:pt idx="1">
                  <c:v>19</c:v>
                </c:pt>
                <c:pt idx="2">
                  <c:v>51</c:v>
                </c:pt>
              </c:numCache>
            </c:numRef>
          </c:yVal>
          <c:bubbleSize>
            <c:numRef>
              <c:f>Location!$D$15:$D$17</c:f>
              <c:numCache>
                <c:formatCode>0.00</c:formatCode>
                <c:ptCount val="3"/>
                <c:pt idx="0">
                  <c:v>0.52054794520547942</c:v>
                </c:pt>
                <c:pt idx="1">
                  <c:v>0.26027397260273971</c:v>
                </c:pt>
                <c:pt idx="2">
                  <c:v>0.69863013698630139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B74B-4681-A0CA-F2211A1849E6}"/>
            </c:ext>
          </c:extLst>
        </c:ser>
        <c:ser>
          <c:idx val="1"/>
          <c:order val="1"/>
          <c:tx>
            <c:v>No Purchase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Location!$A$15:$A$17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Location!$E$15:$E$17</c:f>
              <c:numCache>
                <c:formatCode>General</c:formatCode>
                <c:ptCount val="3"/>
                <c:pt idx="0">
                  <c:v>39</c:v>
                </c:pt>
                <c:pt idx="1">
                  <c:v>19</c:v>
                </c:pt>
                <c:pt idx="2">
                  <c:v>73</c:v>
                </c:pt>
              </c:numCache>
            </c:numRef>
          </c:yVal>
          <c:bubbleSize>
            <c:numRef>
              <c:f>Location!$F$15:$F$17</c:f>
              <c:numCache>
                <c:formatCode>0.00</c:formatCode>
                <c:ptCount val="3"/>
                <c:pt idx="0">
                  <c:v>0.53424657534246578</c:v>
                </c:pt>
                <c:pt idx="1">
                  <c:v>0.26027397260273971</c:v>
                </c:pt>
                <c:pt idx="2">
                  <c:v>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B74B-4681-A0CA-F2211A184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45962175"/>
        <c:axId val="1688231984"/>
      </c:bubbleChart>
      <c:valAx>
        <c:axId val="9459621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88231984"/>
        <c:crosses val="autoZero"/>
        <c:crossBetween val="midCat"/>
      </c:valAx>
      <c:valAx>
        <c:axId val="1688231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6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88252832438874"/>
          <c:y val="5.7807191279004232E-4"/>
          <c:w val="0.2357582672470055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 Behavior, CVR by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Gender 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5.2189467407888082E-3"/>
          <c:y val="1.6536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Gender!$A$14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Gender!$B$13:$C$13</c:f>
              <c:strCache>
                <c:ptCount val="2"/>
                <c:pt idx="0">
                  <c:v>Visits</c:v>
                </c:pt>
                <c:pt idx="1">
                  <c:v>Purchased</c:v>
                </c:pt>
              </c:strCache>
            </c:strRef>
          </c:cat>
          <c:val>
            <c:numRef>
              <c:f>Gender!$B$14:$C$14</c:f>
              <c:numCache>
                <c:formatCode>General</c:formatCode>
                <c:ptCount val="2"/>
                <c:pt idx="0">
                  <c:v>489</c:v>
                </c:pt>
                <c:pt idx="1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E-4167-9416-A2B2EFE1CC95}"/>
            </c:ext>
          </c:extLst>
        </c:ser>
        <c:ser>
          <c:idx val="1"/>
          <c:order val="1"/>
          <c:tx>
            <c:strRef>
              <c:f>Gender!$A$15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Gender!$B$13:$C$13</c:f>
              <c:strCache>
                <c:ptCount val="2"/>
                <c:pt idx="0">
                  <c:v>Visits</c:v>
                </c:pt>
                <c:pt idx="1">
                  <c:v>Purchased</c:v>
                </c:pt>
              </c:strCache>
            </c:strRef>
          </c:cat>
          <c:val>
            <c:numRef>
              <c:f>Gender!$B$15:$C$15</c:f>
              <c:numCache>
                <c:formatCode>General</c:formatCode>
                <c:ptCount val="2"/>
                <c:pt idx="0">
                  <c:v>511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E-4167-9416-A2B2EFE1CC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523312"/>
        <c:axId val="1112678080"/>
      </c:barChart>
      <c:catAx>
        <c:axId val="5815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112678080"/>
        <c:crosses val="autoZero"/>
        <c:auto val="1"/>
        <c:lblAlgn val="ctr"/>
        <c:lblOffset val="100"/>
        <c:noMultiLvlLbl val="0"/>
      </c:catAx>
      <c:valAx>
        <c:axId val="111267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15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53020710941199"/>
          <c:y val="1.4013020833333388E-2"/>
          <c:w val="0.23514722129666976"/>
          <c:h val="9.3018229166666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 Patronage by Commute Distance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6.0763342082239546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Commute_Distance!$B$10</c:f>
              <c:strCache>
                <c:ptCount val="1"/>
                <c:pt idx="0">
                  <c:v>Visit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Commute_Distance!$A$11:$A$15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Commute_Distance!$B$11:$B$15</c:f>
              <c:numCache>
                <c:formatCode>General</c:formatCode>
                <c:ptCount val="5"/>
                <c:pt idx="0">
                  <c:v>56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1-4814-9F48-0FA459C64154}"/>
            </c:ext>
          </c:extLst>
        </c:ser>
        <c:ser>
          <c:idx val="1"/>
          <c:order val="1"/>
          <c:tx>
            <c:strRef>
              <c:f>Commute_Distance!$C$10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Commute_Distance!$A$11:$A$15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Commute_Distance!$C$11:$C$15</c:f>
              <c:numCache>
                <c:formatCode>General</c:formatCode>
                <c:ptCount val="5"/>
                <c:pt idx="0">
                  <c:v>28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1-4814-9F48-0FA459C6415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45932575"/>
        <c:axId val="516670096"/>
      </c:barChart>
      <c:catAx>
        <c:axId val="94593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516670096"/>
        <c:crosses val="autoZero"/>
        <c:auto val="1"/>
        <c:lblAlgn val="ctr"/>
        <c:lblOffset val="100"/>
        <c:noMultiLvlLbl val="0"/>
      </c:catAx>
      <c:valAx>
        <c:axId val="51667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3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226946631671054"/>
          <c:y val="9.8374161563137517E-3"/>
          <c:w val="0.2477305336832895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 Behavior &amp; CVR by Location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2.1085805134573301E-3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Location!$U$13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Location!$S$14:$S$16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Location!$U$14:$U$16</c:f>
              <c:numCache>
                <c:formatCode>General</c:formatCode>
                <c:ptCount val="3"/>
                <c:pt idx="0">
                  <c:v>148</c:v>
                </c:pt>
                <c:pt idx="1">
                  <c:v>113</c:v>
                </c:pt>
                <c:pt idx="2">
                  <c:v>220</c:v>
                </c:pt>
              </c:numCache>
            </c:numRef>
          </c:yVal>
          <c:bubbleSize>
            <c:numRef>
              <c:f>Location!$V$14:$V$16</c:f>
              <c:numCache>
                <c:formatCode>0.00</c:formatCode>
                <c:ptCount val="3"/>
                <c:pt idx="0">
                  <c:v>0.51388888888888884</c:v>
                </c:pt>
                <c:pt idx="1">
                  <c:v>0.3923611111111111</c:v>
                </c:pt>
                <c:pt idx="2">
                  <c:v>0.76388888888888884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BC1A-46F4-AC32-60890170FF13}"/>
            </c:ext>
          </c:extLst>
        </c:ser>
        <c:ser>
          <c:idx val="1"/>
          <c:order val="1"/>
          <c:tx>
            <c:strRef>
              <c:f>Location!$W$13</c:f>
              <c:strCache>
                <c:ptCount val="1"/>
                <c:pt idx="0">
                  <c:v>No Purchase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Location!$S$14:$S$16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Location!$W$14:$W$16</c:f>
              <c:numCache>
                <c:formatCode>General</c:formatCode>
                <c:ptCount val="3"/>
                <c:pt idx="0">
                  <c:v>152</c:v>
                </c:pt>
                <c:pt idx="1">
                  <c:v>79</c:v>
                </c:pt>
                <c:pt idx="2">
                  <c:v>288</c:v>
                </c:pt>
              </c:numCache>
            </c:numRef>
          </c:yVal>
          <c:bubbleSize>
            <c:numRef>
              <c:f>Location!$X$14:$X$16</c:f>
              <c:numCache>
                <c:formatCode>0.00</c:formatCode>
                <c:ptCount val="3"/>
                <c:pt idx="0">
                  <c:v>0.52777777777777779</c:v>
                </c:pt>
                <c:pt idx="1">
                  <c:v>0.27430555555555558</c:v>
                </c:pt>
                <c:pt idx="2">
                  <c:v>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BC1A-46F4-AC32-60890170FF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101805088"/>
        <c:axId val="1062725599"/>
      </c:bubbleChart>
      <c:valAx>
        <c:axId val="11018050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062725599"/>
        <c:crosses val="autoZero"/>
        <c:crossBetween val="midCat"/>
      </c:valAx>
      <c:valAx>
        <c:axId val="1062725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180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71826639949572"/>
          <c:y val="5.2077865266841631E-3"/>
          <c:w val="0.2051174517163849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300" b="1">
                <a:solidFill>
                  <a:sysClr val="windowText" lastClr="000000"/>
                </a:solidFill>
                <a:latin typeface="Aptos Narrow" panose="02110004020202020204"/>
              </a:rPr>
              <a:t>How All Customers Visited &amp; Purchased by Age</a:t>
            </a:r>
            <a:r>
              <a:rPr lang="en-US" sz="1300" b="1" baseline="0">
                <a:solidFill>
                  <a:sysClr val="windowText" lastClr="000000"/>
                </a:solidFill>
                <a:latin typeface="Aptos Narrow" panose="02110004020202020204"/>
              </a:rPr>
              <a:t> Group. </a:t>
            </a:r>
            <a:endParaRPr lang="en-US" sz="13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0.12749722121033802"/>
          <c:y val="1.85185185185185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73836300914252"/>
          <c:y val="0.14798665791776028"/>
          <c:w val="0.80610512094632569"/>
          <c:h val="0.721465806357538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Age_Group_Visit_Purchased!$B$17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Age_Group_Visit_Purchased!$A$18:$A$22</c:f>
              <c:strCache>
                <c:ptCount val="5"/>
                <c:pt idx="0">
                  <c:v>65 yrs &amp; Above</c:v>
                </c:pt>
                <c:pt idx="1">
                  <c:v>55 to 64 yrs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Age_Group_Visit_Purchased!$B$18:$B$22</c:f>
              <c:numCache>
                <c:formatCode>General</c:formatCode>
                <c:ptCount val="5"/>
                <c:pt idx="0">
                  <c:v>59</c:v>
                </c:pt>
                <c:pt idx="1">
                  <c:v>130</c:v>
                </c:pt>
                <c:pt idx="2">
                  <c:v>220</c:v>
                </c:pt>
                <c:pt idx="3">
                  <c:v>260</c:v>
                </c:pt>
                <c:pt idx="4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E-421F-9F3F-440A2CE28478}"/>
            </c:ext>
          </c:extLst>
        </c:ser>
        <c:ser>
          <c:idx val="1"/>
          <c:order val="1"/>
          <c:tx>
            <c:strRef>
              <c:f>Age_Group_Visit_Purchased!$C$17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99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Age_Group_Visit_Purchased!$A$18:$A$22</c:f>
              <c:strCache>
                <c:ptCount val="5"/>
                <c:pt idx="0">
                  <c:v>65 yrs &amp; Above</c:v>
                </c:pt>
                <c:pt idx="1">
                  <c:v>55 to 64 yrs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Age_Group_Visit_Purchased!$C$18:$C$22</c:f>
              <c:numCache>
                <c:formatCode>General</c:formatCode>
                <c:ptCount val="5"/>
                <c:pt idx="0">
                  <c:v>17</c:v>
                </c:pt>
                <c:pt idx="1">
                  <c:v>42</c:v>
                </c:pt>
                <c:pt idx="2">
                  <c:v>93</c:v>
                </c:pt>
                <c:pt idx="3">
                  <c:v>132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E-421F-9F3F-440A2CE284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16395376"/>
        <c:axId val="587863264"/>
      </c:barChart>
      <c:catAx>
        <c:axId val="5163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587863264"/>
        <c:crosses val="autoZero"/>
        <c:auto val="1"/>
        <c:lblAlgn val="ctr"/>
        <c:lblOffset val="100"/>
        <c:noMultiLvlLbl val="0"/>
      </c:catAx>
      <c:valAx>
        <c:axId val="58786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3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chemeClr val="tx1"/>
                </a:solidFill>
                <a:latin typeface="Aptos Narrow" panose="02110004020202020204"/>
              </a:rPr>
              <a:t> Patronage by Age Group</a:t>
            </a:r>
            <a:endParaRPr lang="en-US" sz="1100" b="1">
              <a:solidFill>
                <a:schemeClr val="tx1"/>
              </a:solidFill>
              <a:latin typeface="Aptos Narrow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Age_Group_Visit_Purchased!$Q$17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Age_Group_Visit_Purchased!$P$18:$P$22</c:f>
              <c:strCache>
                <c:ptCount val="5"/>
                <c:pt idx="0">
                  <c:v>55 to 64 yrs</c:v>
                </c:pt>
                <c:pt idx="1">
                  <c:v>65 yrs &amp; Above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Age_Group_Visit_Purchased!$Q$18:$Q$22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25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1-467F-A520-754C35873096}"/>
            </c:ext>
          </c:extLst>
        </c:ser>
        <c:ser>
          <c:idx val="1"/>
          <c:order val="1"/>
          <c:tx>
            <c:strRef>
              <c:f>Age_Group_Visit_Purchased!$R$17</c:f>
              <c:strCache>
                <c:ptCount val="1"/>
                <c:pt idx="0">
                  <c:v> 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Age_Group_Visit_Purchased!$P$18:$P$22</c:f>
              <c:strCache>
                <c:ptCount val="5"/>
                <c:pt idx="0">
                  <c:v>55 to 64 yrs</c:v>
                </c:pt>
                <c:pt idx="1">
                  <c:v>65 yrs &amp; Above</c:v>
                </c:pt>
                <c:pt idx="2">
                  <c:v>25 to 34 yrs</c:v>
                </c:pt>
                <c:pt idx="3">
                  <c:v>45 to 54 yrs</c:v>
                </c:pt>
                <c:pt idx="4">
                  <c:v>35 to 44 yrs</c:v>
                </c:pt>
              </c:strCache>
            </c:strRef>
          </c:cat>
          <c:val>
            <c:numRef>
              <c:f>Age_Group_Visit_Purchased!$R$18:$R$22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13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1-467F-A520-754C358730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382976"/>
        <c:axId val="1683001600"/>
      </c:barChart>
      <c:catAx>
        <c:axId val="5163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683001600"/>
        <c:crosses val="autoZero"/>
        <c:auto val="1"/>
        <c:lblAlgn val="ctr"/>
        <c:lblOffset val="100"/>
        <c:noMultiLvlLbl val="0"/>
      </c:catAx>
      <c:valAx>
        <c:axId val="1683001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3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300" b="1">
                <a:solidFill>
                  <a:sysClr val="windowText" lastClr="000000"/>
                </a:solidFill>
                <a:latin typeface="Aptos Narrow" panose="02110004020202020204"/>
              </a:rPr>
              <a:t>How many Customers Visited</a:t>
            </a:r>
            <a:r>
              <a:rPr lang="en-US" sz="1300" b="1" baseline="0">
                <a:solidFill>
                  <a:sysClr val="windowText" lastClr="000000"/>
                </a:solidFill>
                <a:latin typeface="Aptos Narrow" panose="02110004020202020204"/>
              </a:rPr>
              <a:t>,Purchased by Income Class?</a:t>
            </a:r>
            <a:endParaRPr lang="en-US" sz="13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0.141833333333333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Group'!$B$12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Group'!$A$13:$A$15</c:f>
              <c:strCache>
                <c:ptCount val="3"/>
                <c:pt idx="0">
                  <c:v>Upper Middle Class</c:v>
                </c:pt>
                <c:pt idx="1">
                  <c:v>Lower Class</c:v>
                </c:pt>
                <c:pt idx="2">
                  <c:v>Middle Class</c:v>
                </c:pt>
              </c:strCache>
            </c:strRef>
          </c:cat>
          <c:val>
            <c:numRef>
              <c:f>'Income Group'!$B$13:$B$15</c:f>
              <c:numCache>
                <c:formatCode>General</c:formatCode>
                <c:ptCount val="3"/>
                <c:pt idx="0">
                  <c:v>60</c:v>
                </c:pt>
                <c:pt idx="1">
                  <c:v>476</c:v>
                </c:pt>
                <c:pt idx="2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1-4C5E-A67A-5961D0DC9159}"/>
            </c:ext>
          </c:extLst>
        </c:ser>
        <c:ser>
          <c:idx val="1"/>
          <c:order val="1"/>
          <c:tx>
            <c:strRef>
              <c:f>'Income Group'!$C$12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Group'!$A$13:$A$15</c:f>
              <c:strCache>
                <c:ptCount val="3"/>
                <c:pt idx="0">
                  <c:v>Upper Middle Class</c:v>
                </c:pt>
                <c:pt idx="1">
                  <c:v>Lower Class</c:v>
                </c:pt>
                <c:pt idx="2">
                  <c:v>Middle Class</c:v>
                </c:pt>
              </c:strCache>
            </c:strRef>
          </c:cat>
          <c:val>
            <c:numRef>
              <c:f>'Income Group'!$C$13:$C$15</c:f>
              <c:numCache>
                <c:formatCode>General</c:formatCode>
                <c:ptCount val="3"/>
                <c:pt idx="0">
                  <c:v>32</c:v>
                </c:pt>
                <c:pt idx="1">
                  <c:v>223</c:v>
                </c:pt>
                <c:pt idx="2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1-4C5E-A67A-5961D0DC91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0364128"/>
        <c:axId val="1171943600"/>
      </c:barChart>
      <c:catAx>
        <c:axId val="58036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171943600"/>
        <c:crosses val="autoZero"/>
        <c:auto val="1"/>
        <c:lblAlgn val="ctr"/>
        <c:lblOffset val="100"/>
        <c:noMultiLvlLbl val="0"/>
      </c:catAx>
      <c:valAx>
        <c:axId val="1171943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036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Patronage by Income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Group'!$N$12</c:f>
              <c:strCache>
                <c:ptCount val="1"/>
                <c:pt idx="0">
                  <c:v>Visits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Group'!$M$13:$M$15</c:f>
              <c:strCache>
                <c:ptCount val="3"/>
                <c:pt idx="0">
                  <c:v>Middle Class</c:v>
                </c:pt>
                <c:pt idx="1">
                  <c:v>Upper Middle Class</c:v>
                </c:pt>
                <c:pt idx="2">
                  <c:v>Lower Class</c:v>
                </c:pt>
              </c:strCache>
            </c:strRef>
          </c:cat>
          <c:val>
            <c:numRef>
              <c:f>'Income Group'!$N$13:$N$15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5-440E-BBE2-087D120F004B}"/>
            </c:ext>
          </c:extLst>
        </c:ser>
        <c:ser>
          <c:idx val="1"/>
          <c:order val="1"/>
          <c:tx>
            <c:strRef>
              <c:f>'Income Group'!$O$12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Group'!$M$13:$M$15</c:f>
              <c:strCache>
                <c:ptCount val="3"/>
                <c:pt idx="0">
                  <c:v>Middle Class</c:v>
                </c:pt>
                <c:pt idx="1">
                  <c:v>Upper Middle Class</c:v>
                </c:pt>
                <c:pt idx="2">
                  <c:v>Lower Class</c:v>
                </c:pt>
              </c:strCache>
            </c:strRef>
          </c:cat>
          <c:val>
            <c:numRef>
              <c:f>'Income Group'!$O$13:$O$15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5-440E-BBE2-087D120F00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5921375"/>
        <c:axId val="1698571872"/>
      </c:barChart>
      <c:catAx>
        <c:axId val="94592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71872"/>
        <c:crosses val="autoZero"/>
        <c:auto val="1"/>
        <c:lblAlgn val="ctr"/>
        <c:lblOffset val="100"/>
        <c:noMultiLvlLbl val="0"/>
      </c:catAx>
      <c:valAx>
        <c:axId val="1698571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800" b="1">
                <a:solidFill>
                  <a:sysClr val="windowText" lastClr="000000"/>
                </a:solidFill>
                <a:latin typeface="Aptos Narrow" panose="02110004020202020204"/>
              </a:rPr>
              <a:t>Conversion</a:t>
            </a:r>
            <a:r>
              <a:rPr lang="en-US" sz="800" b="1" baseline="0">
                <a:solidFill>
                  <a:sysClr val="windowText" lastClr="000000"/>
                </a:solidFill>
                <a:latin typeface="Aptos Narrow" panose="02110004020202020204"/>
              </a:rPr>
              <a:t> Rate by Gender</a:t>
            </a:r>
            <a:endParaRPr lang="en-US" sz="8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0.20187001015117012"/>
          <c:y val="2.5889967637540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02282898051802"/>
          <c:y val="0.13731810035842293"/>
          <c:w val="0.50278482317732309"/>
          <c:h val="0.71663754480286734"/>
        </c:manualLayout>
      </c:layout>
      <c:doughnutChart>
        <c:varyColors val="1"/>
        <c:ser>
          <c:idx val="0"/>
          <c:order val="0"/>
          <c:tx>
            <c:strRef>
              <c:f>Gender!$E$13</c:f>
              <c:strCache>
                <c:ptCount val="1"/>
                <c:pt idx="0">
                  <c:v>CVR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18-4B6F-999C-9D5C8A0764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18-4B6F-999C-9D5C8A07648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 Narrow" panose="02110004020202020204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Gender!$A$14:$A$15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Gender!$E$14:$E$15</c:f>
              <c:numCache>
                <c:formatCode>0%</c:formatCode>
                <c:ptCount val="2"/>
                <c:pt idx="0">
                  <c:v>0.4887525562372188</c:v>
                </c:pt>
                <c:pt idx="1">
                  <c:v>0.47358121330724068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7-4D29-ADC1-399F2BB2CD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How</a:t>
            </a:r>
            <a:r>
              <a:rPr lang="en-US" b="1" baseline="0">
                <a:solidFill>
                  <a:sysClr val="windowText" lastClr="000000"/>
                </a:solidFill>
              </a:rPr>
              <a:t> Customer Traffic &amp; Purchase varies with Gender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Gender!$B$13:$C$13</c:f>
              <c:strCache>
                <c:ptCount val="2"/>
                <c:pt idx="0">
                  <c:v>Visits</c:v>
                </c:pt>
                <c:pt idx="1">
                  <c:v>Purchased</c:v>
                </c:pt>
              </c:strCache>
            </c:strRef>
          </c:cat>
          <c:val>
            <c:numRef>
              <c:f>Gender!$B$14:$C$14</c:f>
              <c:numCache>
                <c:formatCode>General</c:formatCode>
                <c:ptCount val="2"/>
                <c:pt idx="0">
                  <c:v>489</c:v>
                </c:pt>
                <c:pt idx="1">
                  <c:v>239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17-4450-B6FB-CA978C27E97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Gender!$B$13:$C$13</c:f>
              <c:strCache>
                <c:ptCount val="2"/>
                <c:pt idx="0">
                  <c:v>Visits</c:v>
                </c:pt>
                <c:pt idx="1">
                  <c:v>Purchased</c:v>
                </c:pt>
              </c:strCache>
            </c:strRef>
          </c:cat>
          <c:val>
            <c:numRef>
              <c:f>Gender!$B$15:$C$15</c:f>
              <c:numCache>
                <c:formatCode>General</c:formatCode>
                <c:ptCount val="2"/>
                <c:pt idx="0">
                  <c:v>511</c:v>
                </c:pt>
                <c:pt idx="1">
                  <c:v>242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617-4450-B6FB-CA978C27E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523312"/>
        <c:axId val="1112678080"/>
      </c:barChart>
      <c:catAx>
        <c:axId val="5815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endParaRPr lang="en-US"/>
          </a:p>
        </c:txPr>
        <c:crossAx val="1112678080"/>
        <c:crosses val="autoZero"/>
        <c:auto val="1"/>
        <c:lblAlgn val="ctr"/>
        <c:lblOffset val="100"/>
        <c:noMultiLvlLbl val="0"/>
      </c:catAx>
      <c:valAx>
        <c:axId val="111267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15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strRef>
              <c:f>Location!$C$14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Location!$A$15:$A$17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Location!$C$15:$C$17</c:f>
              <c:numCache>
                <c:formatCode>General</c:formatCode>
                <c:ptCount val="3"/>
                <c:pt idx="0">
                  <c:v>38</c:v>
                </c:pt>
                <c:pt idx="1">
                  <c:v>19</c:v>
                </c:pt>
                <c:pt idx="2">
                  <c:v>51</c:v>
                </c:pt>
              </c:numCache>
            </c:numRef>
          </c:yVal>
          <c:bubbleSize>
            <c:numRef>
              <c:f>Location!$D$15:$D$17</c:f>
              <c:numCache>
                <c:formatCode>0.00</c:formatCode>
                <c:ptCount val="3"/>
                <c:pt idx="0">
                  <c:v>0.52054794520547942</c:v>
                </c:pt>
                <c:pt idx="1">
                  <c:v>0.26027397260273971</c:v>
                </c:pt>
                <c:pt idx="2">
                  <c:v>0.69863013698630139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80DB-49C4-9BFA-9D97E2206F2D}"/>
            </c:ext>
          </c:extLst>
        </c:ser>
        <c:ser>
          <c:idx val="1"/>
          <c:order val="1"/>
          <c:tx>
            <c:v>No Purchase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Location!$A$15:$A$17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Location!$E$15:$E$17</c:f>
              <c:numCache>
                <c:formatCode>General</c:formatCode>
                <c:ptCount val="3"/>
                <c:pt idx="0">
                  <c:v>39</c:v>
                </c:pt>
                <c:pt idx="1">
                  <c:v>19</c:v>
                </c:pt>
                <c:pt idx="2">
                  <c:v>73</c:v>
                </c:pt>
              </c:numCache>
            </c:numRef>
          </c:yVal>
          <c:bubbleSize>
            <c:numRef>
              <c:f>Location!$F$15:$F$17</c:f>
              <c:numCache>
                <c:formatCode>0.00</c:formatCode>
                <c:ptCount val="3"/>
                <c:pt idx="0">
                  <c:v>0.53424657534246578</c:v>
                </c:pt>
                <c:pt idx="1">
                  <c:v>0.26027397260273971</c:v>
                </c:pt>
                <c:pt idx="2">
                  <c:v>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80DB-49C4-9BFA-9D97E220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45962175"/>
        <c:axId val="1688231984"/>
      </c:bubbleChart>
      <c:valAx>
        <c:axId val="9459621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88231984"/>
        <c:crosses val="autoZero"/>
        <c:crossBetween val="midCat"/>
      </c:valAx>
      <c:valAx>
        <c:axId val="1688231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6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5.7815689705453398E-4"/>
          <c:w val="0.2357582672470055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ptos Narrow" panose="02110004020202020204"/>
              </a:rPr>
              <a:t>Customer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" panose="02110004020202020204"/>
              </a:rPr>
              <a:t> Behavior by Location</a:t>
            </a:r>
            <a:endParaRPr lang="en-US" sz="110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2.1085805134573301E-3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Location!$U$13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Location!$S$14:$S$16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Location!$U$14:$U$16</c:f>
              <c:numCache>
                <c:formatCode>General</c:formatCode>
                <c:ptCount val="3"/>
                <c:pt idx="0">
                  <c:v>148</c:v>
                </c:pt>
                <c:pt idx="1">
                  <c:v>113</c:v>
                </c:pt>
                <c:pt idx="2">
                  <c:v>220</c:v>
                </c:pt>
              </c:numCache>
            </c:numRef>
          </c:yVal>
          <c:bubbleSize>
            <c:numRef>
              <c:f>Location!$V$14:$V$16</c:f>
              <c:numCache>
                <c:formatCode>0.00</c:formatCode>
                <c:ptCount val="3"/>
                <c:pt idx="0">
                  <c:v>0.51388888888888884</c:v>
                </c:pt>
                <c:pt idx="1">
                  <c:v>0.3923611111111111</c:v>
                </c:pt>
                <c:pt idx="2">
                  <c:v>0.76388888888888884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1658-4178-9009-3F7E9735AD6F}"/>
            </c:ext>
          </c:extLst>
        </c:ser>
        <c:ser>
          <c:idx val="1"/>
          <c:order val="1"/>
          <c:tx>
            <c:strRef>
              <c:f>Location!$W$13</c:f>
              <c:strCache>
                <c:ptCount val="1"/>
                <c:pt idx="0">
                  <c:v>No Purchase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Location!$S$14:$S$16</c:f>
              <c:strCache>
                <c:ptCount val="3"/>
                <c:pt idx="0">
                  <c:v>Europe</c:v>
                </c:pt>
                <c:pt idx="1">
                  <c:v>Pacific</c:v>
                </c:pt>
                <c:pt idx="2">
                  <c:v>North America</c:v>
                </c:pt>
              </c:strCache>
            </c:strRef>
          </c:xVal>
          <c:yVal>
            <c:numRef>
              <c:f>Location!$W$14:$W$16</c:f>
              <c:numCache>
                <c:formatCode>General</c:formatCode>
                <c:ptCount val="3"/>
                <c:pt idx="0">
                  <c:v>152</c:v>
                </c:pt>
                <c:pt idx="1">
                  <c:v>79</c:v>
                </c:pt>
                <c:pt idx="2">
                  <c:v>288</c:v>
                </c:pt>
              </c:numCache>
            </c:numRef>
          </c:yVal>
          <c:bubbleSize>
            <c:numRef>
              <c:f>Location!$X$14:$X$16</c:f>
              <c:numCache>
                <c:formatCode>0.00</c:formatCode>
                <c:ptCount val="3"/>
                <c:pt idx="0">
                  <c:v>0.52777777777777779</c:v>
                </c:pt>
                <c:pt idx="1">
                  <c:v>0.27430555555555558</c:v>
                </c:pt>
                <c:pt idx="2">
                  <c:v>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1658-4178-9009-3F7E9735AD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101805088"/>
        <c:axId val="1062725599"/>
      </c:bubbleChart>
      <c:valAx>
        <c:axId val="11018050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062725599"/>
        <c:crosses val="autoZero"/>
        <c:crossBetween val="midCat"/>
      </c:valAx>
      <c:valAx>
        <c:axId val="1062725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0180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71826639949572"/>
          <c:y val="5.2077865266841631E-3"/>
          <c:w val="0.2051174517163849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Aptos Narrow" panose="02110004020202020204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  <a:latin typeface="Aptos Narrow" panose="02110004020202020204"/>
              </a:rPr>
              <a:t>Customer</a:t>
            </a:r>
            <a:r>
              <a:rPr lang="en-US" sz="1050" b="1" baseline="0">
                <a:solidFill>
                  <a:sysClr val="windowText" lastClr="000000"/>
                </a:solidFill>
                <a:latin typeface="Aptos Narrow" panose="02110004020202020204"/>
              </a:rPr>
              <a:t> Behavior by Commute Distance</a:t>
            </a:r>
            <a:endParaRPr lang="en-US" sz="1050" b="1">
              <a:solidFill>
                <a:sysClr val="windowText" lastClr="000000"/>
              </a:solidFill>
              <a:latin typeface="Aptos Narrow" panose="02110004020202020204"/>
            </a:endParaRPr>
          </a:p>
        </c:rich>
      </c:tx>
      <c:layout>
        <c:manualLayout>
          <c:xMode val="edge"/>
          <c:yMode val="edge"/>
          <c:x val="6.0763342082239546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Commute_Distance!$B$10</c:f>
              <c:strCache>
                <c:ptCount val="1"/>
                <c:pt idx="0">
                  <c:v>Visit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Commute_Distance!$A$11:$A$15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Commute_Distance!$B$11:$B$15</c:f>
              <c:numCache>
                <c:formatCode>General</c:formatCode>
                <c:ptCount val="5"/>
                <c:pt idx="0">
                  <c:v>56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3F0-BF10-0C06692685CD}"/>
            </c:ext>
          </c:extLst>
        </c:ser>
        <c:ser>
          <c:idx val="1"/>
          <c:order val="1"/>
          <c:tx>
            <c:strRef>
              <c:f>Commute_Distance!$C$10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Commute_Distance!$A$11:$A$15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Commute_Distance!$C$11:$C$15</c:f>
              <c:numCache>
                <c:formatCode>General</c:formatCode>
                <c:ptCount val="5"/>
                <c:pt idx="0">
                  <c:v>28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3F0-BF10-0C06692685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45932575"/>
        <c:axId val="516670096"/>
      </c:barChart>
      <c:catAx>
        <c:axId val="94593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70096"/>
        <c:crosses val="autoZero"/>
        <c:auto val="1"/>
        <c:lblAlgn val="ctr"/>
        <c:lblOffset val="100"/>
        <c:noMultiLvlLbl val="0"/>
      </c:catAx>
      <c:valAx>
        <c:axId val="51667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593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226946631671054"/>
          <c:y val="9.8374161563137517E-3"/>
          <c:w val="0.2477305336832895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Narrow" panose="02110004020202020204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Customer Visits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ptos Narrow" panose="02110004020202020204"/>
              <a:ea typeface="Aptos Narrow" panose="02110004020202020204"/>
              <a:cs typeface="Aptos Narrow" panose="02110004020202020204"/>
            </a:defRPr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Customer Visits by Region</a:t>
          </a:r>
        </a:p>
      </cx:txPr>
    </cx:title>
    <cx:plotArea>
      <cx:plotAreaRegion>
        <cx:series layoutId="treemap" uniqueId="{24062E1B-1646-448A-867A-BD1C783160CC}">
          <cx:tx>
            <cx:txData>
              <cx:f>_xlchart.v1.1</cx:f>
              <cx:v>Visit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latin typeface="Aptos Narrow" panose="02110004020202020204"/>
                    <a:ea typeface="Aptos Narrow" panose="02110004020202020204"/>
                    <a:cs typeface="Aptos Narrow" panose="02110004020202020204"/>
                  </a:defRPr>
                </a:pPr>
                <a:endParaRPr lang="en-US" sz="1100" b="0" i="0" u="none" strike="noStrike" baseline="0"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
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 b="1">
                      <a:solidFill>
                        <a:sysClr val="windowText" lastClr="000000"/>
                      </a:solidFill>
                      <a:latin typeface="Aptos Narrow" panose="02110004020202020204"/>
                      <a:ea typeface="Aptos Narrow" panose="02110004020202020204"/>
                      <a:cs typeface="Aptos Narrow" panose="02110004020202020204"/>
                    </a:defRPr>
                  </a:pPr>
                  <a:r>
                    <a:rPr lang="en-US" sz="1200" b="1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Europe
69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 b="1">
                      <a:solidFill>
                        <a:sysClr val="windowText" lastClr="000000"/>
                      </a:solidFill>
                      <a:latin typeface="Aptos Narrow" panose="02110004020202020204"/>
                      <a:ea typeface="Aptos Narrow" panose="02110004020202020204"/>
                      <a:cs typeface="Aptos Narrow" panose="02110004020202020204"/>
                    </a:defRPr>
                  </a:pPr>
                  <a:r>
                    <a:rPr lang="en-US" sz="1200" b="1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Pacific
57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200" b="1">
                      <a:solidFill>
                        <a:sysClr val="windowText" lastClr="000000"/>
                      </a:solidFill>
                      <a:latin typeface="Aptos Narrow" panose="02110004020202020204"/>
                      <a:ea typeface="Aptos Narrow" panose="02110004020202020204"/>
                      <a:cs typeface="Aptos Narrow" panose="02110004020202020204"/>
                    </a:defRPr>
                  </a:pPr>
                  <a:r>
                    <a:rPr lang="en-US" sz="1200" b="1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North America
173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CD266A07-415B-4441-BE3E-E49F2537890F}">
          <cx:tx>
            <cx:txData>
              <cx:f>_xlchart.v1.4</cx:f>
              <cx:v>Purchased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en-US" sz="900" b="1" i="0" u="none" strike="noStrike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80282</xdr:colOff>
      <xdr:row>20</xdr:row>
      <xdr:rowOff>39461</xdr:rowOff>
    </xdr:from>
    <xdr:to>
      <xdr:col>7</xdr:col>
      <xdr:colOff>23133</xdr:colOff>
      <xdr:row>30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5B8AE-7FA9-44AC-ACB5-AFEB6F2A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80282</xdr:colOff>
      <xdr:row>31</xdr:row>
      <xdr:rowOff>2240</xdr:rowOff>
    </xdr:from>
    <xdr:to>
      <xdr:col>7</xdr:col>
      <xdr:colOff>23131</xdr:colOff>
      <xdr:row>41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9FFC9B-5C8F-4DC7-BE34-38389217E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59133</xdr:colOff>
      <xdr:row>20</xdr:row>
      <xdr:rowOff>39461</xdr:rowOff>
    </xdr:from>
    <xdr:to>
      <xdr:col>15</xdr:col>
      <xdr:colOff>560085</xdr:colOff>
      <xdr:row>37</xdr:row>
      <xdr:rowOff>150417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87FA6-5F42-4356-95F0-B5EEB6CC4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80282</xdr:colOff>
      <xdr:row>41</xdr:row>
      <xdr:rowOff>160431</xdr:rowOff>
    </xdr:from>
    <xdr:to>
      <xdr:col>7</xdr:col>
      <xdr:colOff>32657</xdr:colOff>
      <xdr:row>52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05AF12-997C-4B26-A6D0-597608427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16</xdr:col>
      <xdr:colOff>0</xdr:colOff>
      <xdr:row>20</xdr:row>
      <xdr:rowOff>39461</xdr:rowOff>
    </xdr:from>
    <xdr:to>
      <xdr:col>22</xdr:col>
      <xdr:colOff>451757</xdr:colOff>
      <xdr:row>37</xdr:row>
      <xdr:rowOff>144858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BBCC90-7425-4EB6-817D-3E302656D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9</xdr:col>
      <xdr:colOff>47625</xdr:colOff>
      <xdr:row>37</xdr:row>
      <xdr:rowOff>190500</xdr:rowOff>
    </xdr:from>
    <xdr:to>
      <xdr:col>15</xdr:col>
      <xdr:colOff>581025</xdr:colOff>
      <xdr:row>55</xdr:row>
      <xdr:rowOff>95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2C8437D8-F92B-4BC9-A355-306481A70192}"/>
            </a:ext>
          </a:extLst>
        </xdr:cNvPr>
        <xdr:cNvGrpSpPr/>
      </xdr:nvGrpSpPr>
      <xdr:grpSpPr>
        <a:xfrm>
          <a:off x="6505575" y="8039100"/>
          <a:ext cx="5391150" cy="3848195"/>
          <a:chOff x="6953250" y="4876800"/>
          <a:chExt cx="5324475" cy="3105150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4B238478-3266-4166-B0FC-B7A21E720049}"/>
              </a:ext>
            </a:extLst>
          </xdr:cNvPr>
          <xdr:cNvGraphicFramePr/>
        </xdr:nvGraphicFramePr>
        <xdr:xfrm>
          <a:off x="6953250" y="4876800"/>
          <a:ext cx="5324475" cy="3105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Location!$A$20">
        <xdr:nvSpPr>
          <xdr:cNvPr id="16" name="TextBox 15">
            <a:extLst>
              <a:ext uri="{FF2B5EF4-FFF2-40B4-BE49-F238E27FC236}">
                <a16:creationId xmlns:a16="http://schemas.microsoft.com/office/drawing/2014/main" id="{5177A4F1-F4B3-4E1A-B272-2C4A2AA0AAE8}"/>
              </a:ext>
            </a:extLst>
          </xdr:cNvPr>
          <xdr:cNvSpPr txBox="1"/>
        </xdr:nvSpPr>
        <xdr:spPr>
          <a:xfrm>
            <a:off x="7953376" y="7653105"/>
            <a:ext cx="1143000" cy="3126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DEFC4F9A-63DA-43E8-8D5D-74001A936A32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Europe</a:t>
            </a:fld>
            <a:endParaRPr lang="en-US" sz="1200" b="1">
              <a:latin typeface="Aptos Narrow" panose="02110004020202020204"/>
            </a:endParaRPr>
          </a:p>
        </xdr:txBody>
      </xdr:sp>
      <xdr:sp macro="" textlink="Location!$A$21">
        <xdr:nvSpPr>
          <xdr:cNvPr id="17" name="TextBox 16">
            <a:extLst>
              <a:ext uri="{FF2B5EF4-FFF2-40B4-BE49-F238E27FC236}">
                <a16:creationId xmlns:a16="http://schemas.microsoft.com/office/drawing/2014/main" id="{54DBD554-0982-4E5F-9292-32AD4B54A588}"/>
              </a:ext>
            </a:extLst>
          </xdr:cNvPr>
          <xdr:cNvSpPr txBox="1"/>
        </xdr:nvSpPr>
        <xdr:spPr>
          <a:xfrm>
            <a:off x="9429751" y="7653105"/>
            <a:ext cx="1143000" cy="3126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5B02D5E-FFD6-4815-9F82-71B10740B903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Pacific</a:t>
            </a:fld>
            <a:endParaRPr lang="en-US" sz="1200" b="1">
              <a:latin typeface="Aptos Narrow" panose="02110004020202020204"/>
            </a:endParaRPr>
          </a:p>
        </xdr:txBody>
      </xdr:sp>
      <xdr:sp macro="" textlink="Location!$A$22">
        <xdr:nvSpPr>
          <xdr:cNvPr id="18" name="TextBox 17">
            <a:extLst>
              <a:ext uri="{FF2B5EF4-FFF2-40B4-BE49-F238E27FC236}">
                <a16:creationId xmlns:a16="http://schemas.microsoft.com/office/drawing/2014/main" id="{7E909CE7-3481-4DA0-83C7-48C28E43CF68}"/>
              </a:ext>
            </a:extLst>
          </xdr:cNvPr>
          <xdr:cNvSpPr txBox="1"/>
        </xdr:nvSpPr>
        <xdr:spPr>
          <a:xfrm>
            <a:off x="11039476" y="7653105"/>
            <a:ext cx="1143000" cy="3126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39A0DA1-B7D3-44C4-81C5-962524406687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North America</a:t>
            </a:fld>
            <a:endParaRPr lang="en-US" sz="1200" b="1">
              <a:solidFill>
                <a:schemeClr val="tx1"/>
              </a:solidFill>
              <a:latin typeface="Aptos Narrow" panose="02110004020202020204"/>
            </a:endParaRPr>
          </a:p>
        </xdr:txBody>
      </xdr:sp>
      <xdr:sp macro="" textlink="Location!B20">
        <xdr:nvSpPr>
          <xdr:cNvPr id="19" name="TextBox 18">
            <a:extLst>
              <a:ext uri="{FF2B5EF4-FFF2-40B4-BE49-F238E27FC236}">
                <a16:creationId xmlns:a16="http://schemas.microsoft.com/office/drawing/2014/main" id="{5F50DDFC-C64C-4735-A263-6465F011FAC7}"/>
              </a:ext>
            </a:extLst>
          </xdr:cNvPr>
          <xdr:cNvSpPr txBox="1"/>
        </xdr:nvSpPr>
        <xdr:spPr>
          <a:xfrm>
            <a:off x="8001001" y="7446996"/>
            <a:ext cx="438150" cy="280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40C00A02-E919-49E4-8F01-325BADA6B635}" type="TxLink">
              <a:rPr lang="en-US" sz="1100" b="1" i="0" u="none" strike="noStrike">
                <a:solidFill>
                  <a:srgbClr val="000099"/>
                </a:solidFill>
                <a:latin typeface="Calibri"/>
                <a:cs typeface="Calibri"/>
              </a:rPr>
              <a:pPr algn="r"/>
              <a:t>49%</a:t>
            </a:fld>
            <a:endParaRPr lang="en-US" sz="1100" b="1">
              <a:solidFill>
                <a:srgbClr val="000099"/>
              </a:solidFill>
            </a:endParaRPr>
          </a:p>
        </xdr:txBody>
      </xdr:sp>
      <xdr:sp macro="" textlink="Location!B21">
        <xdr:nvSpPr>
          <xdr:cNvPr id="20" name="TextBox 19">
            <a:extLst>
              <a:ext uri="{FF2B5EF4-FFF2-40B4-BE49-F238E27FC236}">
                <a16:creationId xmlns:a16="http://schemas.microsoft.com/office/drawing/2014/main" id="{0B5DC614-0378-47EF-9DD4-AE1988D8C44D}"/>
              </a:ext>
            </a:extLst>
          </xdr:cNvPr>
          <xdr:cNvSpPr txBox="1"/>
        </xdr:nvSpPr>
        <xdr:spPr>
          <a:xfrm>
            <a:off x="9505950" y="7446996"/>
            <a:ext cx="439200" cy="281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0AA5F76-1765-4C1D-97BF-F985F8106915}" type="TxLink">
              <a:rPr lang="en-US" sz="1100" b="1" i="0" u="none" strike="noStrike">
                <a:solidFill>
                  <a:srgbClr val="000099"/>
                </a:solidFill>
                <a:latin typeface="Aptos Narrow" panose="02110004020202020204"/>
                <a:cs typeface="Calibri"/>
              </a:rPr>
              <a:pPr algn="l"/>
              <a:t>50%</a:t>
            </a:fld>
            <a:endParaRPr lang="en-US" sz="1100" b="1">
              <a:solidFill>
                <a:srgbClr val="000099"/>
              </a:solidFill>
              <a:latin typeface="Aptos Narrow" panose="02110004020202020204"/>
            </a:endParaRPr>
          </a:p>
        </xdr:txBody>
      </xdr:sp>
      <xdr:sp macro="" textlink="Location!B22">
        <xdr:nvSpPr>
          <xdr:cNvPr id="21" name="TextBox 20">
            <a:extLst>
              <a:ext uri="{FF2B5EF4-FFF2-40B4-BE49-F238E27FC236}">
                <a16:creationId xmlns:a16="http://schemas.microsoft.com/office/drawing/2014/main" id="{55154912-0E5E-4AE4-9251-44C091526D42}"/>
              </a:ext>
            </a:extLst>
          </xdr:cNvPr>
          <xdr:cNvSpPr txBox="1"/>
        </xdr:nvSpPr>
        <xdr:spPr>
          <a:xfrm>
            <a:off x="10839451" y="7446996"/>
            <a:ext cx="439200" cy="281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428BBDF-DC74-4C0E-91FF-5D9E0D536399}" type="TxLink">
              <a:rPr lang="en-US" sz="1100" b="1" i="0" u="none" strike="noStrike">
                <a:solidFill>
                  <a:srgbClr val="000099"/>
                </a:solidFill>
                <a:latin typeface="Aptos Narrow" panose="02110004020202020204"/>
                <a:cs typeface="Calibri"/>
              </a:rPr>
              <a:pPr algn="l"/>
              <a:t>41%</a:t>
            </a:fld>
            <a:endParaRPr lang="en-US" sz="1100" b="1">
              <a:solidFill>
                <a:srgbClr val="000099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absolute">
    <xdr:from>
      <xdr:col>0</xdr:col>
      <xdr:colOff>80282</xdr:colOff>
      <xdr:row>8</xdr:row>
      <xdr:rowOff>48986</xdr:rowOff>
    </xdr:from>
    <xdr:to>
      <xdr:col>7</xdr:col>
      <xdr:colOff>13607</xdr:colOff>
      <xdr:row>19</xdr:row>
      <xdr:rowOff>185486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C51071D-358C-495B-BBF1-ADA80B72F0DE}"/>
            </a:ext>
          </a:extLst>
        </xdr:cNvPr>
        <xdr:cNvGrpSpPr/>
      </xdr:nvGrpSpPr>
      <xdr:grpSpPr>
        <a:xfrm>
          <a:off x="80282" y="1877786"/>
          <a:ext cx="4276725" cy="2232000"/>
          <a:chOff x="76200" y="1076325"/>
          <a:chExt cx="4276725" cy="23040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B50D3C01-D2E1-471A-90DB-901D0823675B}"/>
              </a:ext>
            </a:extLst>
          </xdr:cNvPr>
          <xdr:cNvGraphicFramePr>
            <a:graphicFrameLocks/>
          </xdr:cNvGraphicFramePr>
        </xdr:nvGraphicFramePr>
        <xdr:xfrm>
          <a:off x="76200" y="1076325"/>
          <a:ext cx="4276725" cy="23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Gender!E14">
        <xdr:nvSpPr>
          <xdr:cNvPr id="26" name="TextBox 25">
            <a:extLst>
              <a:ext uri="{FF2B5EF4-FFF2-40B4-BE49-F238E27FC236}">
                <a16:creationId xmlns:a16="http://schemas.microsoft.com/office/drawing/2014/main" id="{9FBA214C-F000-4624-8D96-B93C9133BF13}"/>
              </a:ext>
            </a:extLst>
          </xdr:cNvPr>
          <xdr:cNvSpPr txBox="1"/>
        </xdr:nvSpPr>
        <xdr:spPr>
          <a:xfrm>
            <a:off x="2324100" y="2371725"/>
            <a:ext cx="4572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43DB0724-16FC-491E-8241-3FADA03F7D3B}" type="TxLink">
              <a:rPr lang="en-US" sz="1100" b="1" i="0" u="none" strike="noStrike">
                <a:solidFill>
                  <a:schemeClr val="bg1">
                    <a:lumMod val="50000"/>
                  </a:schemeClr>
                </a:solidFill>
                <a:latin typeface="Calibri"/>
                <a:cs typeface="Calibri"/>
              </a:rPr>
              <a:pPr algn="r"/>
              <a:t>49%</a:t>
            </a:fld>
            <a:endParaRPr lang="en-US" sz="1100" b="1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Gender!E15">
        <xdr:nvSpPr>
          <xdr:cNvPr id="27" name="TextBox 26">
            <a:extLst>
              <a:ext uri="{FF2B5EF4-FFF2-40B4-BE49-F238E27FC236}">
                <a16:creationId xmlns:a16="http://schemas.microsoft.com/office/drawing/2014/main" id="{37A14E95-DA07-4615-981C-2FDC4D31B0AF}"/>
              </a:ext>
            </a:extLst>
          </xdr:cNvPr>
          <xdr:cNvSpPr txBox="1"/>
        </xdr:nvSpPr>
        <xdr:spPr>
          <a:xfrm>
            <a:off x="3657600" y="2371725"/>
            <a:ext cx="4572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C4F77B00-6FDE-447E-9B69-E275068B0137}" type="TxLink">
              <a:rPr lang="en-US" sz="1100" b="1" i="0" u="none" strike="noStrike">
                <a:solidFill>
                  <a:schemeClr val="tx1"/>
                </a:solidFill>
                <a:latin typeface="Calibri"/>
                <a:cs typeface="Calibri"/>
              </a:rPr>
              <a:pPr algn="r"/>
              <a:t>47%</a:t>
            </a:fld>
            <a:endParaRPr lang="en-US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16</xdr:col>
      <xdr:colOff>19050</xdr:colOff>
      <xdr:row>37</xdr:row>
      <xdr:rowOff>190501</xdr:rowOff>
    </xdr:from>
    <xdr:to>
      <xdr:col>22</xdr:col>
      <xdr:colOff>457200</xdr:colOff>
      <xdr:row>54</xdr:row>
      <xdr:rowOff>176083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8AB5629-EE56-427D-9A1C-A03FFCF55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76200</xdr:colOff>
      <xdr:row>52</xdr:row>
      <xdr:rowOff>76200</xdr:rowOff>
    </xdr:from>
    <xdr:to>
      <xdr:col>7</xdr:col>
      <xdr:colOff>57150</xdr:colOff>
      <xdr:row>64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BADE595-3608-4787-B1E5-0F4D81B9E16F}"/>
            </a:ext>
          </a:extLst>
        </xdr:cNvPr>
        <xdr:cNvGrpSpPr/>
      </xdr:nvGrpSpPr>
      <xdr:grpSpPr>
        <a:xfrm>
          <a:off x="76200" y="11391900"/>
          <a:ext cx="4324350" cy="2209800"/>
          <a:chOff x="76200" y="11220450"/>
          <a:chExt cx="4294800" cy="2209800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0E985157-08F2-4E0E-AAFB-5B2327623C04}"/>
              </a:ext>
            </a:extLst>
          </xdr:cNvPr>
          <xdr:cNvGraphicFramePr>
            <a:graphicFrameLocks/>
          </xdr:cNvGraphicFramePr>
        </xdr:nvGraphicFramePr>
        <xdr:xfrm>
          <a:off x="76200" y="11220450"/>
          <a:ext cx="4294800" cy="2200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Location!$S$16">
        <xdr:nvSpPr>
          <xdr:cNvPr id="33" name="TextBox 32">
            <a:extLst>
              <a:ext uri="{FF2B5EF4-FFF2-40B4-BE49-F238E27FC236}">
                <a16:creationId xmlns:a16="http://schemas.microsoft.com/office/drawing/2014/main" id="{1E1D890F-125C-4625-ACC8-F0AC0FF25194}"/>
              </a:ext>
            </a:extLst>
          </xdr:cNvPr>
          <xdr:cNvSpPr txBox="1"/>
        </xdr:nvSpPr>
        <xdr:spPr>
          <a:xfrm>
            <a:off x="3162300" y="13154025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6FF8B0B-B93E-4582-B370-7F844F8D2E67}" type="TxLink">
              <a:rPr lang="en-US" sz="10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North America</a:t>
            </a:fld>
            <a:endParaRPr lang="en-US" sz="1000" b="1">
              <a:latin typeface="Aptos Narrow" panose="02110004020202020204"/>
            </a:endParaRPr>
          </a:p>
        </xdr:txBody>
      </xdr:sp>
      <xdr:sp macro="" textlink="Location!$S$15">
        <xdr:nvSpPr>
          <xdr:cNvPr id="34" name="TextBox 33">
            <a:extLst>
              <a:ext uri="{FF2B5EF4-FFF2-40B4-BE49-F238E27FC236}">
                <a16:creationId xmlns:a16="http://schemas.microsoft.com/office/drawing/2014/main" id="{2C4548D2-A066-4CAE-92DF-6F92EB4F99C0}"/>
              </a:ext>
            </a:extLst>
          </xdr:cNvPr>
          <xdr:cNvSpPr txBox="1"/>
        </xdr:nvSpPr>
        <xdr:spPr>
          <a:xfrm>
            <a:off x="1957388" y="13154025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4BDE360-E1B8-4527-8752-BE6097989DB0}" type="TxLink">
              <a:rPr lang="en-US" sz="10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Pacific</a:t>
            </a:fld>
            <a:endParaRPr lang="en-US" sz="1000" b="1">
              <a:latin typeface="Aptos Narrow" panose="02110004020202020204"/>
            </a:endParaRPr>
          </a:p>
        </xdr:txBody>
      </xdr:sp>
      <xdr:sp macro="" textlink="Location!$S$14">
        <xdr:nvSpPr>
          <xdr:cNvPr id="35" name="TextBox 34">
            <a:extLst>
              <a:ext uri="{FF2B5EF4-FFF2-40B4-BE49-F238E27FC236}">
                <a16:creationId xmlns:a16="http://schemas.microsoft.com/office/drawing/2014/main" id="{8EABB107-FB68-4D0F-9411-FCDC65D4A36D}"/>
              </a:ext>
            </a:extLst>
          </xdr:cNvPr>
          <xdr:cNvSpPr txBox="1"/>
        </xdr:nvSpPr>
        <xdr:spPr>
          <a:xfrm>
            <a:off x="752475" y="13154025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0940F28-5FE4-4C9D-9C87-CF9B61A32A9A}" type="TxLink">
              <a:rPr lang="en-US" sz="10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Europe</a:t>
            </a:fld>
            <a:endParaRPr lang="en-US" sz="1000" b="1">
              <a:latin typeface="Aptos Narrow" panose="02110004020202020204"/>
            </a:endParaRPr>
          </a:p>
        </xdr:txBody>
      </xdr:sp>
      <xdr:sp macro="" textlink="Location!$Z$14">
        <xdr:nvSpPr>
          <xdr:cNvPr id="36" name="TextBox 35">
            <a:extLst>
              <a:ext uri="{FF2B5EF4-FFF2-40B4-BE49-F238E27FC236}">
                <a16:creationId xmlns:a16="http://schemas.microsoft.com/office/drawing/2014/main" id="{5D95067C-2F1C-4B8A-B85A-B52DB9F78361}"/>
              </a:ext>
            </a:extLst>
          </xdr:cNvPr>
          <xdr:cNvSpPr txBox="1"/>
        </xdr:nvSpPr>
        <xdr:spPr>
          <a:xfrm>
            <a:off x="828675" y="13001625"/>
            <a:ext cx="4667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894AB8D-0D64-4AA8-A2A7-4341F00E82BC}" type="TxLink">
              <a:rPr lang="en-US" sz="1000" b="1" i="0" u="none" strike="noStrike">
                <a:solidFill>
                  <a:srgbClr val="000099"/>
                </a:solidFill>
                <a:latin typeface="Aptos Narrow" panose="02110004020202020204"/>
                <a:cs typeface="Calibri"/>
              </a:rPr>
              <a:pPr/>
              <a:t>49%</a:t>
            </a:fld>
            <a:endParaRPr lang="en-US" sz="1000" b="1">
              <a:solidFill>
                <a:srgbClr val="000099"/>
              </a:solidFill>
              <a:latin typeface="Aptos Narrow" panose="02110004020202020204"/>
            </a:endParaRPr>
          </a:p>
        </xdr:txBody>
      </xdr:sp>
      <xdr:sp macro="" textlink="Location!$Z$15">
        <xdr:nvSpPr>
          <xdr:cNvPr id="37" name="TextBox 36">
            <a:extLst>
              <a:ext uri="{FF2B5EF4-FFF2-40B4-BE49-F238E27FC236}">
                <a16:creationId xmlns:a16="http://schemas.microsoft.com/office/drawing/2014/main" id="{D7CEF52F-9737-4336-B755-41E926D5ADDC}"/>
              </a:ext>
            </a:extLst>
          </xdr:cNvPr>
          <xdr:cNvSpPr txBox="1"/>
        </xdr:nvSpPr>
        <xdr:spPr>
          <a:xfrm>
            <a:off x="2057400" y="13001625"/>
            <a:ext cx="4667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C40B2EC-54F2-4E70-B8BF-E908156C3DBA}" type="TxLink">
              <a:rPr lang="en-US" sz="1000" b="1" i="0" u="none" strike="noStrike">
                <a:solidFill>
                  <a:srgbClr val="000099"/>
                </a:solidFill>
                <a:latin typeface="Aptos Narrow" panose="02110004020202020204"/>
                <a:cs typeface="Calibri"/>
              </a:rPr>
              <a:pPr/>
              <a:t>59%</a:t>
            </a:fld>
            <a:endParaRPr lang="en-US" sz="1000" b="1">
              <a:solidFill>
                <a:srgbClr val="000099"/>
              </a:solidFill>
              <a:latin typeface="Aptos Narrow" panose="02110004020202020204"/>
            </a:endParaRPr>
          </a:p>
        </xdr:txBody>
      </xdr:sp>
      <xdr:sp macro="" textlink="Location!$Z$16">
        <xdr:nvSpPr>
          <xdr:cNvPr id="38" name="TextBox 37">
            <a:extLst>
              <a:ext uri="{FF2B5EF4-FFF2-40B4-BE49-F238E27FC236}">
                <a16:creationId xmlns:a16="http://schemas.microsoft.com/office/drawing/2014/main" id="{9249994F-92FB-4C93-9EDD-1C10A390FCF9}"/>
              </a:ext>
            </a:extLst>
          </xdr:cNvPr>
          <xdr:cNvSpPr txBox="1"/>
        </xdr:nvSpPr>
        <xdr:spPr>
          <a:xfrm>
            <a:off x="3057525" y="13001625"/>
            <a:ext cx="4667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B76CD41-29A1-44F2-A943-97A30F7264FB}" type="TxLink">
              <a:rPr lang="en-US" sz="1000" b="1" i="0" u="none" strike="noStrike">
                <a:solidFill>
                  <a:srgbClr val="000099"/>
                </a:solidFill>
                <a:latin typeface="Aptos Narrow" panose="02110004020202020204"/>
                <a:cs typeface="Calibri"/>
              </a:rPr>
              <a:pPr/>
              <a:t>43%</a:t>
            </a:fld>
            <a:endParaRPr lang="en-US" sz="1000" b="1">
              <a:solidFill>
                <a:srgbClr val="000099"/>
              </a:solidFill>
              <a:latin typeface="Aptos Narrow" panose="02110004020202020204"/>
            </a:endParaRPr>
          </a:p>
        </xdr:txBody>
      </xdr:sp>
    </xdr:grpSp>
    <xdr:clientData/>
  </xdr:twoCellAnchor>
  <xdr:twoCellAnchor>
    <xdr:from>
      <xdr:col>7</xdr:col>
      <xdr:colOff>66675</xdr:colOff>
      <xdr:row>10</xdr:row>
      <xdr:rowOff>0</xdr:rowOff>
    </xdr:from>
    <xdr:to>
      <xdr:col>10</xdr:col>
      <xdr:colOff>153628</xdr:colOff>
      <xdr:row>19</xdr:row>
      <xdr:rowOff>155989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FBA4E864-DDFD-4AB4-ABB0-CD2FDBC1B33C}"/>
            </a:ext>
          </a:extLst>
        </xdr:cNvPr>
        <xdr:cNvGrpSpPr/>
      </xdr:nvGrpSpPr>
      <xdr:grpSpPr>
        <a:xfrm>
          <a:off x="4410075" y="2209800"/>
          <a:ext cx="2811103" cy="1870489"/>
          <a:chOff x="6535927" y="2324747"/>
          <a:chExt cx="3408820" cy="1818046"/>
        </a:xfrm>
        <a:solidFill>
          <a:schemeClr val="accent5">
            <a:lumMod val="20000"/>
            <a:lumOff val="80000"/>
          </a:schemeClr>
        </a:solidFill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AD260177-D71B-4C7D-8BB6-7594E2561CBE}"/>
              </a:ext>
            </a:extLst>
          </xdr:cNvPr>
          <xdr:cNvSpPr/>
        </xdr:nvSpPr>
        <xdr:spPr>
          <a:xfrm>
            <a:off x="6535927" y="2324747"/>
            <a:ext cx="3408820" cy="1818046"/>
          </a:xfrm>
          <a:prstGeom prst="rect">
            <a:avLst/>
          </a:prstGeom>
          <a:grpFill/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 b="1">
                <a:solidFill>
                  <a:sysClr val="windowText" lastClr="000000"/>
                </a:solidFill>
                <a:latin typeface="Aptos Narrow" panose="02110004020202020204"/>
              </a:rPr>
              <a:t>Visits</a:t>
            </a:r>
            <a:r>
              <a:rPr lang="en-US" sz="2400">
                <a:solidFill>
                  <a:sysClr val="windowText" lastClr="000000"/>
                </a:solidFill>
                <a:latin typeface="Aptos Narrow" panose="02110004020202020204"/>
              </a:rPr>
              <a:t>:</a:t>
            </a: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4F8D3863-E719-4DC5-9C1B-A9CAEFF565CC}"/>
              </a:ext>
            </a:extLst>
          </xdr:cNvPr>
          <xdr:cNvSpPr txBox="1"/>
        </xdr:nvSpPr>
        <xdr:spPr>
          <a:xfrm>
            <a:off x="7179146" y="2788708"/>
            <a:ext cx="1425640" cy="779131"/>
          </a:xfrm>
          <a:prstGeom prst="rect">
            <a:avLst/>
          </a:prstGeom>
          <a:grpFill/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400" b="1" i="0" baseline="0">
                <a:latin typeface="Aptos Narrow" panose="02110004020202020204"/>
              </a:rPr>
              <a:t>TOTAL :</a:t>
            </a:r>
            <a:endParaRPr lang="en-US" sz="2400" b="1" i="0">
              <a:latin typeface="Aptos Narrow" panose="02110004020202020204"/>
            </a:endParaRPr>
          </a:p>
        </xdr:txBody>
      </xdr:sp>
      <xdr:sp macro="" textlink="'Purchased &amp;Or Visited'!F3">
        <xdr:nvSpPr>
          <xdr:cNvPr id="41" name="TextBox 40">
            <a:extLst>
              <a:ext uri="{FF2B5EF4-FFF2-40B4-BE49-F238E27FC236}">
                <a16:creationId xmlns:a16="http://schemas.microsoft.com/office/drawing/2014/main" id="{284FB137-EE4A-4567-AEA9-FD1E5FBC9C14}"/>
              </a:ext>
            </a:extLst>
          </xdr:cNvPr>
          <xdr:cNvSpPr txBox="1"/>
        </xdr:nvSpPr>
        <xdr:spPr>
          <a:xfrm>
            <a:off x="8700029" y="2790239"/>
            <a:ext cx="1058761" cy="777600"/>
          </a:xfrm>
          <a:prstGeom prst="rect">
            <a:avLst/>
          </a:prstGeom>
          <a:grpFill/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5A24CBB-8C72-455E-BAC0-592063B125F3}" type="TxLink">
              <a:rPr lang="en-US" sz="2400" b="1" i="0" u="none" strike="noStrike">
                <a:solidFill>
                  <a:schemeClr val="tx1"/>
                </a:solidFill>
                <a:latin typeface="Aptos Narrow" panose="02110004020202020204"/>
                <a:cs typeface="Calibri"/>
              </a:rPr>
              <a:pPr algn="ctr"/>
              <a:t>1000</a:t>
            </a:fld>
            <a:endParaRPr lang="en-US" sz="2400" b="1" i="0">
              <a:solidFill>
                <a:schemeClr val="tx1"/>
              </a:solidFill>
              <a:latin typeface="Aptos Narrow" panose="02110004020202020204"/>
            </a:endParaRPr>
          </a:p>
        </xdr:txBody>
      </xdr:sp>
      <xdr:sp macro="" textlink="'Purchased &amp;Or Visited'!C3">
        <xdr:nvSpPr>
          <xdr:cNvPr id="42" name="TextBox 41">
            <a:extLst>
              <a:ext uri="{FF2B5EF4-FFF2-40B4-BE49-F238E27FC236}">
                <a16:creationId xmlns:a16="http://schemas.microsoft.com/office/drawing/2014/main" id="{F80A0433-FCCC-42BC-A8EF-0A172C3D66FB}"/>
              </a:ext>
            </a:extLst>
          </xdr:cNvPr>
          <xdr:cNvSpPr txBox="1"/>
        </xdr:nvSpPr>
        <xdr:spPr>
          <a:xfrm>
            <a:off x="8700031" y="3309534"/>
            <a:ext cx="1063720" cy="780322"/>
          </a:xfrm>
          <a:prstGeom prst="rect">
            <a:avLst/>
          </a:prstGeom>
          <a:grpFill/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DCBFB8B-4D11-433E-80B9-7794C7832C4B}" type="TxLink">
              <a:rPr lang="en-US" sz="2400" b="1" i="0" u="none" strike="noStrike">
                <a:solidFill>
                  <a:schemeClr val="accent1">
                    <a:lumMod val="60000"/>
                    <a:lumOff val="40000"/>
                  </a:schemeClr>
                </a:solidFill>
                <a:latin typeface="Aptos Narrow" panose="02110004020202020204"/>
                <a:cs typeface="Calibri"/>
              </a:rPr>
              <a:pPr algn="ctr"/>
              <a:t>77</a:t>
            </a:fld>
            <a:endParaRPr lang="en-US" sz="2400" b="1"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750644EB-3028-4347-936C-8C6DB8A4288F}"/>
              </a:ext>
            </a:extLst>
          </xdr:cNvPr>
          <xdr:cNvSpPr txBox="1"/>
        </xdr:nvSpPr>
        <xdr:spPr>
          <a:xfrm>
            <a:off x="6667513" y="3309534"/>
            <a:ext cx="1969565" cy="780324"/>
          </a:xfrm>
          <a:prstGeom prst="rect">
            <a:avLst/>
          </a:prstGeom>
          <a:grpFill/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400" b="1">
                <a:solidFill>
                  <a:schemeClr val="accent1">
                    <a:lumMod val="60000"/>
                    <a:lumOff val="40000"/>
                  </a:schemeClr>
                </a:solidFill>
                <a:latin typeface="Aptos Narrow" panose="02110004020202020204"/>
              </a:rPr>
              <a:t>SELECTED :</a:t>
            </a:r>
          </a:p>
        </xdr:txBody>
      </xdr:sp>
    </xdr:grpSp>
    <xdr:clientData/>
  </xdr:twoCellAnchor>
  <xdr:twoCellAnchor>
    <xdr:from>
      <xdr:col>10</xdr:col>
      <xdr:colOff>199718</xdr:colOff>
      <xdr:row>10</xdr:row>
      <xdr:rowOff>30726</xdr:rowOff>
    </xdr:from>
    <xdr:to>
      <xdr:col>13</xdr:col>
      <xdr:colOff>1619001</xdr:colOff>
      <xdr:row>19</xdr:row>
      <xdr:rowOff>155991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1FDE837A-27EE-476D-AD9E-1B44039E2EF6}"/>
            </a:ext>
          </a:extLst>
        </xdr:cNvPr>
        <xdr:cNvGrpSpPr/>
      </xdr:nvGrpSpPr>
      <xdr:grpSpPr>
        <a:xfrm>
          <a:off x="7267268" y="2240526"/>
          <a:ext cx="3248083" cy="1839765"/>
          <a:chOff x="9282839" y="2340891"/>
          <a:chExt cx="3618000" cy="1801904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2AC2B000-F343-4DDD-A65A-1F413AEC96D7}"/>
              </a:ext>
            </a:extLst>
          </xdr:cNvPr>
          <xdr:cNvSpPr/>
        </xdr:nvSpPr>
        <xdr:spPr>
          <a:xfrm>
            <a:off x="9282839" y="2340891"/>
            <a:ext cx="3618000" cy="1801904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 b="1">
                <a:solidFill>
                  <a:sysClr val="windowText" lastClr="000000"/>
                </a:solidFill>
                <a:latin typeface="Aptos Narrow" panose="02110004020202020204"/>
              </a:rPr>
              <a:t>Conversion</a:t>
            </a:r>
            <a:r>
              <a:rPr lang="en-US" sz="2400" b="1" baseline="0">
                <a:solidFill>
                  <a:sysClr val="windowText" lastClr="000000"/>
                </a:solidFill>
                <a:latin typeface="Aptos Narrow" panose="02110004020202020204"/>
              </a:rPr>
              <a:t> Rate (CVR) :</a:t>
            </a:r>
            <a:endParaRPr lang="en-US" sz="2400" b="1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80FC2EA8-2886-4FA8-8938-3A8C081961B9}"/>
              </a:ext>
            </a:extLst>
          </xdr:cNvPr>
          <xdr:cNvSpPr txBox="1"/>
        </xdr:nvSpPr>
        <xdr:spPr>
          <a:xfrm>
            <a:off x="10083662" y="2840797"/>
            <a:ext cx="1695299" cy="743186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400" b="1" i="0">
                <a:latin typeface="Aptos Narrow" panose="02110004020202020204"/>
              </a:rPr>
              <a:t>TOTAL</a:t>
            </a:r>
            <a:r>
              <a:rPr lang="en-US" sz="2400" b="1" i="0" baseline="0">
                <a:latin typeface="Aptos Narrow" panose="02110004020202020204"/>
              </a:rPr>
              <a:t> </a:t>
            </a:r>
            <a:r>
              <a:rPr lang="en-US" sz="2400" b="1" i="0">
                <a:latin typeface="Aptos Narrow" panose="02110004020202020204"/>
              </a:rPr>
              <a:t>:</a:t>
            </a:r>
          </a:p>
        </xdr:txBody>
      </xdr:sp>
      <xdr:sp macro="" textlink="'Purchased &amp;Or Visited'!F5">
        <xdr:nvSpPr>
          <xdr:cNvPr id="49" name="TextBox 48">
            <a:extLst>
              <a:ext uri="{FF2B5EF4-FFF2-40B4-BE49-F238E27FC236}">
                <a16:creationId xmlns:a16="http://schemas.microsoft.com/office/drawing/2014/main" id="{05A6FF8F-B833-49A1-A6E2-29D8A1CF6721}"/>
              </a:ext>
            </a:extLst>
          </xdr:cNvPr>
          <xdr:cNvSpPr txBox="1"/>
        </xdr:nvSpPr>
        <xdr:spPr>
          <a:xfrm>
            <a:off x="11827236" y="2792365"/>
            <a:ext cx="1067885" cy="791618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42F469E-CCA6-4FF6-9515-CA7F48EE466D}" type="TxLink">
              <a:rPr lang="en-US" sz="24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48%</a:t>
            </a:fld>
            <a:endParaRPr lang="en-US" sz="2400" b="1" i="1">
              <a:solidFill>
                <a:schemeClr val="tx1"/>
              </a:solidFill>
              <a:latin typeface="Aptos Narrow" panose="02110004020202020204"/>
            </a:endParaRPr>
          </a:p>
        </xdr:txBody>
      </xdr:sp>
      <xdr:sp macro="" textlink="'Purchased &amp;Or Visited'!C5">
        <xdr:nvSpPr>
          <xdr:cNvPr id="50" name="TextBox 49">
            <a:extLst>
              <a:ext uri="{FF2B5EF4-FFF2-40B4-BE49-F238E27FC236}">
                <a16:creationId xmlns:a16="http://schemas.microsoft.com/office/drawing/2014/main" id="{7004185D-0890-4D6C-8D14-094BBF93195B}"/>
              </a:ext>
            </a:extLst>
          </xdr:cNvPr>
          <xdr:cNvSpPr txBox="1"/>
        </xdr:nvSpPr>
        <xdr:spPr>
          <a:xfrm>
            <a:off x="11811636" y="3325678"/>
            <a:ext cx="1072888" cy="772744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8E57576-9988-44C4-8296-D119272E6976}" type="TxLink">
              <a:rPr lang="en-US" sz="2400" b="1" i="0" u="none" strike="noStrike">
                <a:solidFill>
                  <a:schemeClr val="accent1">
                    <a:lumMod val="60000"/>
                    <a:lumOff val="40000"/>
                  </a:schemeClr>
                </a:solidFill>
                <a:latin typeface="Aptos Narrow" panose="02110004020202020204"/>
                <a:cs typeface="Calibri"/>
              </a:rPr>
              <a:pPr algn="ctr"/>
              <a:t>49%</a:t>
            </a:fld>
            <a:endParaRPr lang="en-US" sz="2400" b="1"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7492B6CA-7832-4C3B-89A7-93CF5AC5D9B6}"/>
              </a:ext>
            </a:extLst>
          </xdr:cNvPr>
          <xdr:cNvSpPr txBox="1"/>
        </xdr:nvSpPr>
        <xdr:spPr>
          <a:xfrm>
            <a:off x="10083662" y="3325678"/>
            <a:ext cx="1695300" cy="77674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sz="2400" b="1">
                <a:solidFill>
                  <a:schemeClr val="accent1">
                    <a:lumMod val="60000"/>
                    <a:lumOff val="40000"/>
                  </a:schemeClr>
                </a:solidFill>
                <a:latin typeface="Aptos Narrow" panose="02110004020202020204"/>
              </a:rPr>
              <a:t>SELECTED:</a:t>
            </a:r>
          </a:p>
        </xdr:txBody>
      </xdr:sp>
    </xdr:grpSp>
    <xdr:clientData/>
  </xdr:twoCellAnchor>
  <xdr:twoCellAnchor>
    <xdr:from>
      <xdr:col>13</xdr:col>
      <xdr:colOff>1681849</xdr:colOff>
      <xdr:row>10</xdr:row>
      <xdr:rowOff>30726</xdr:rowOff>
    </xdr:from>
    <xdr:to>
      <xdr:col>18</xdr:col>
      <xdr:colOff>1762569</xdr:colOff>
      <xdr:row>19</xdr:row>
      <xdr:rowOff>169865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C5E115ED-6DFF-4A2E-A17A-9ADF0FCBB158}"/>
            </a:ext>
          </a:extLst>
        </xdr:cNvPr>
        <xdr:cNvGrpSpPr/>
      </xdr:nvGrpSpPr>
      <xdr:grpSpPr>
        <a:xfrm>
          <a:off x="10578199" y="2240526"/>
          <a:ext cx="4328870" cy="1853639"/>
          <a:chOff x="12963687" y="2364138"/>
          <a:chExt cx="4326610" cy="1801904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6BFE52C8-5E70-433A-B19D-B52FEAC1C195}"/>
              </a:ext>
            </a:extLst>
          </xdr:cNvPr>
          <xdr:cNvSpPr/>
        </xdr:nvSpPr>
        <xdr:spPr>
          <a:xfrm>
            <a:off x="12963687" y="2364138"/>
            <a:ext cx="4326610" cy="1801904"/>
          </a:xfrm>
          <a:prstGeom prst="rect">
            <a:avLst/>
          </a:prstGeom>
          <a:solidFill>
            <a:schemeClr val="accent3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 b="1">
                <a:solidFill>
                  <a:sysClr val="windowText" lastClr="000000"/>
                </a:solidFill>
                <a:latin typeface="Aptos Narrow" panose="02110004020202020204"/>
              </a:rPr>
              <a:t>Highest</a:t>
            </a:r>
            <a:r>
              <a:rPr lang="en-US" sz="2400" b="1" baseline="0">
                <a:solidFill>
                  <a:sysClr val="windowText" lastClr="000000"/>
                </a:solidFill>
                <a:latin typeface="Aptos Narrow" panose="02110004020202020204"/>
              </a:rPr>
              <a:t> Purchasers (HPs):</a:t>
            </a:r>
            <a:endParaRPr lang="en-US" sz="2400" b="1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Age_Group_Visit_Purchased!W19">
        <xdr:nvSpPr>
          <xdr:cNvPr id="56" name="TextBox 55">
            <a:extLst>
              <a:ext uri="{FF2B5EF4-FFF2-40B4-BE49-F238E27FC236}">
                <a16:creationId xmlns:a16="http://schemas.microsoft.com/office/drawing/2014/main" id="{74B12955-DDDA-4FF5-A7BC-3B22AECD386E}"/>
              </a:ext>
            </a:extLst>
          </xdr:cNvPr>
          <xdr:cNvSpPr txBox="1"/>
        </xdr:nvSpPr>
        <xdr:spPr>
          <a:xfrm>
            <a:off x="12995974" y="2815611"/>
            <a:ext cx="1691657" cy="4616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58798F46-B774-477B-A9FA-771E30A0D28B}" type="TxLink">
              <a:rPr lang="en-US" sz="24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r"/>
              <a:t>35 to 44 yrs</a:t>
            </a:fld>
            <a:endParaRPr lang="en-US" sz="2400" b="1" i="1">
              <a:latin typeface="Aptos Narrow" panose="02110004020202020204"/>
            </a:endParaRPr>
          </a:p>
        </xdr:txBody>
      </xdr:sp>
      <xdr:sp macro="" textlink="Commute_Distance!A26">
        <xdr:nvSpPr>
          <xdr:cNvPr id="58" name="TextBox 57">
            <a:extLst>
              <a:ext uri="{FF2B5EF4-FFF2-40B4-BE49-F238E27FC236}">
                <a16:creationId xmlns:a16="http://schemas.microsoft.com/office/drawing/2014/main" id="{94BF64FC-4005-4916-8EB8-3E7C95FFF267}"/>
              </a:ext>
            </a:extLst>
          </xdr:cNvPr>
          <xdr:cNvSpPr txBox="1"/>
        </xdr:nvSpPr>
        <xdr:spPr>
          <a:xfrm>
            <a:off x="15207711" y="3611003"/>
            <a:ext cx="2082586" cy="5218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2FDFDE8-978C-4FF8-B759-23170C8C261E}" type="TxLink">
              <a:rPr lang="en-US" sz="24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0-1 Miles</a:t>
            </a:fld>
            <a:endParaRPr lang="en-US" sz="2400" b="1"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xdr:txBody>
      </xdr:sp>
      <xdr:sp macro="" textlink="'Income Group'!S13">
        <xdr:nvSpPr>
          <xdr:cNvPr id="59" name="TextBox 58">
            <a:extLst>
              <a:ext uri="{FF2B5EF4-FFF2-40B4-BE49-F238E27FC236}">
                <a16:creationId xmlns:a16="http://schemas.microsoft.com/office/drawing/2014/main" id="{41EAEEA4-35CD-4FFD-AB21-41661A2D2BC6}"/>
              </a:ext>
            </a:extLst>
          </xdr:cNvPr>
          <xdr:cNvSpPr txBox="1"/>
        </xdr:nvSpPr>
        <xdr:spPr>
          <a:xfrm>
            <a:off x="13916704" y="3226169"/>
            <a:ext cx="2027336" cy="5192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A25214E9-F8CA-48B5-945D-0E60E998716D}" type="TxLink">
              <a:rPr lang="en-US" sz="24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r"/>
              <a:t>Lower Class</a:t>
            </a:fld>
            <a:endParaRPr lang="en-US" sz="2400" b="1">
              <a:solidFill>
                <a:schemeClr val="accent1">
                  <a:lumMod val="60000"/>
                  <a:lumOff val="40000"/>
                </a:schemeClr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18</xdr:col>
      <xdr:colOff>584713</xdr:colOff>
      <xdr:row>0</xdr:row>
      <xdr:rowOff>122904</xdr:rowOff>
    </xdr:from>
    <xdr:to>
      <xdr:col>22</xdr:col>
      <xdr:colOff>476251</xdr:colOff>
      <xdr:row>9</xdr:row>
      <xdr:rowOff>122904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F07A44E-DA3C-4493-B967-179C76A71FB3}"/>
            </a:ext>
          </a:extLst>
        </xdr:cNvPr>
        <xdr:cNvPicPr/>
      </xdr:nvPicPr>
      <xdr:blipFill rotWithShape="1">
        <a:blip xmlns:r="http://schemas.openxmlformats.org/officeDocument/2006/relationships" r:embed="rId10"/>
        <a:srcRect l="16828" t="34336" r="53686" b="23099"/>
        <a:stretch/>
      </xdr:blipFill>
      <xdr:spPr bwMode="auto">
        <a:xfrm>
          <a:off x="13700638" y="122904"/>
          <a:ext cx="3511038" cy="2000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76201</xdr:colOff>
      <xdr:row>0</xdr:row>
      <xdr:rowOff>76816</xdr:rowOff>
    </xdr:from>
    <xdr:to>
      <xdr:col>18</xdr:col>
      <xdr:colOff>521608</xdr:colOff>
      <xdr:row>9</xdr:row>
      <xdr:rowOff>153630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6497F06A-C4F1-4A4F-8C51-9DB16B4934C7}"/>
            </a:ext>
          </a:extLst>
        </xdr:cNvPr>
        <xdr:cNvGrpSpPr/>
      </xdr:nvGrpSpPr>
      <xdr:grpSpPr>
        <a:xfrm>
          <a:off x="4419601" y="76816"/>
          <a:ext cx="9246507" cy="2096114"/>
          <a:chOff x="4876800" y="621236"/>
          <a:chExt cx="7934325" cy="1636188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B5D65AA7-2D6A-4F77-BADB-A689D347D55D}"/>
              </a:ext>
            </a:extLst>
          </xdr:cNvPr>
          <xdr:cNvSpPr txBox="1"/>
        </xdr:nvSpPr>
        <xdr:spPr>
          <a:xfrm>
            <a:off x="4876800" y="621236"/>
            <a:ext cx="7934325" cy="1636188"/>
          </a:xfrm>
          <a:prstGeom prst="rect">
            <a:avLst/>
          </a:prstGeom>
          <a:solidFill>
            <a:schemeClr val="bg1">
              <a:lumMod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5000" b="1">
                <a:latin typeface="Imprint MT Shadow" panose="04020605060303030202" pitchFamily="82" charset="0"/>
              </a:rPr>
              <a:t>CUSTOMER ANALYSIS</a:t>
            </a:r>
          </a:p>
          <a:p>
            <a:pPr algn="ctr"/>
            <a:r>
              <a:rPr lang="en-US" sz="4400" b="1">
                <a:latin typeface="Aptos Narrow" panose="02110004020202020204"/>
              </a:rPr>
              <a:t> 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E9BE007E-F410-482C-8A18-DC10AF396695}"/>
              </a:ext>
            </a:extLst>
          </xdr:cNvPr>
          <xdr:cNvSpPr txBox="1"/>
        </xdr:nvSpPr>
        <xdr:spPr>
          <a:xfrm>
            <a:off x="6960427" y="1569047"/>
            <a:ext cx="4110581" cy="671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5000" b="1">
                <a:solidFill>
                  <a:schemeClr val="dk1"/>
                </a:solidFill>
                <a:effectLst/>
                <a:latin typeface="Imprint MT Shadow" panose="04020605060303030202" pitchFamily="82" charset="0"/>
                <a:ea typeface="+mn-ea"/>
                <a:cs typeface="+mn-cs"/>
              </a:rPr>
              <a:t>DASHBOARD</a:t>
            </a:r>
            <a:r>
              <a:rPr lang="en-US" sz="4000" b="1" baseline="0">
                <a:solidFill>
                  <a:schemeClr val="dk1"/>
                </a:solidFill>
                <a:effectLst/>
                <a:latin typeface="Imprint MT Shadow" panose="04020605060303030202" pitchFamily="82" charset="0"/>
                <a:ea typeface="+mn-ea"/>
                <a:cs typeface="+mn-cs"/>
              </a:rPr>
              <a:t> </a:t>
            </a:r>
            <a:endParaRPr lang="en-US" sz="4000">
              <a:latin typeface="Imprint MT Shadow" panose="04020605060303030202" pitchFamily="82" charset="0"/>
            </a:endParaRPr>
          </a:p>
        </xdr:txBody>
      </xdr:sp>
    </xdr:grpSp>
    <xdr:clientData/>
  </xdr:twoCellAnchor>
  <xdr:twoCellAnchor>
    <xdr:from>
      <xdr:col>0</xdr:col>
      <xdr:colOff>68035</xdr:colOff>
      <xdr:row>0</xdr:row>
      <xdr:rowOff>61453</xdr:rowOff>
    </xdr:from>
    <xdr:to>
      <xdr:col>7</xdr:col>
      <xdr:colOff>19050</xdr:colOff>
      <xdr:row>5</xdr:row>
      <xdr:rowOff>90715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2AC4F31E-ADC9-47B8-A55B-A15462B83E0A}"/>
            </a:ext>
          </a:extLst>
        </xdr:cNvPr>
        <xdr:cNvSpPr/>
      </xdr:nvSpPr>
      <xdr:spPr>
        <a:xfrm>
          <a:off x="68035" y="61453"/>
          <a:ext cx="4294415" cy="981762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ysClr val="windowText" lastClr="000000"/>
              </a:solidFill>
              <a:latin typeface="Imprint MT Shadow" panose="04020605060303030202" pitchFamily="82" charset="0"/>
            </a:rPr>
            <a:t>Designed</a:t>
          </a:r>
          <a:r>
            <a:rPr lang="en-US" sz="2400" b="1" baseline="0">
              <a:solidFill>
                <a:sysClr val="windowText" lastClr="000000"/>
              </a:solidFill>
              <a:latin typeface="Imprint MT Shadow" panose="04020605060303030202" pitchFamily="82" charset="0"/>
            </a:rPr>
            <a:t> date:</a:t>
          </a:r>
        </a:p>
        <a:p>
          <a:pPr algn="l"/>
          <a:r>
            <a:rPr lang="en-US" sz="2400" b="1" baseline="0">
              <a:solidFill>
                <a:sysClr val="windowText" lastClr="000000"/>
              </a:solidFill>
              <a:latin typeface="Imprint MT Shadow" panose="04020605060303030202" pitchFamily="82" charset="0"/>
            </a:rPr>
            <a:t>               September 26th, 2025</a:t>
          </a:r>
          <a:endParaRPr lang="en-US" sz="2400" b="1">
            <a:solidFill>
              <a:sysClr val="windowText" lastClr="000000"/>
            </a:solidFill>
            <a:latin typeface="Imprint MT Shadow" panose="04020605060303030202" pitchFamily="82" charset="0"/>
          </a:endParaRPr>
        </a:p>
      </xdr:txBody>
    </xdr:sp>
    <xdr:clientData/>
  </xdr:twoCellAnchor>
  <xdr:twoCellAnchor>
    <xdr:from>
      <xdr:col>19</xdr:col>
      <xdr:colOff>19052</xdr:colOff>
      <xdr:row>10</xdr:row>
      <xdr:rowOff>30725</xdr:rowOff>
    </xdr:from>
    <xdr:to>
      <xdr:col>22</xdr:col>
      <xdr:colOff>476730</xdr:colOff>
      <xdr:row>19</xdr:row>
      <xdr:rowOff>168992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A3011C0-4C53-47EF-AB2B-45AE996E8450}"/>
            </a:ext>
          </a:extLst>
        </xdr:cNvPr>
        <xdr:cNvGrpSpPr/>
      </xdr:nvGrpSpPr>
      <xdr:grpSpPr>
        <a:xfrm>
          <a:off x="14954252" y="2240525"/>
          <a:ext cx="2286478" cy="1852767"/>
          <a:chOff x="14959695" y="2235082"/>
          <a:chExt cx="2294642" cy="1852767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80C07DD-EB67-4514-8E04-17BBAC15FCB9}"/>
              </a:ext>
            </a:extLst>
          </xdr:cNvPr>
          <xdr:cNvSpPr/>
        </xdr:nvSpPr>
        <xdr:spPr>
          <a:xfrm>
            <a:off x="14971402" y="2235082"/>
            <a:ext cx="2282454" cy="1852767"/>
          </a:xfrm>
          <a:prstGeom prst="rect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 b="1">
                <a:solidFill>
                  <a:sysClr val="windowText" lastClr="000000"/>
                </a:solidFill>
              </a:rPr>
              <a:t>Location:</a:t>
            </a:r>
          </a:p>
          <a:p>
            <a:pPr algn="l"/>
            <a:r>
              <a:rPr lang="en-US" sz="1800" b="1">
                <a:solidFill>
                  <a:sysClr val="windowText" lastClr="000000"/>
                </a:solidFill>
              </a:rPr>
              <a:t>Most</a:t>
            </a:r>
            <a:r>
              <a:rPr lang="en-US" sz="1800" b="1" baseline="0">
                <a:solidFill>
                  <a:sysClr val="windowText" lastClr="000000"/>
                </a:solidFill>
              </a:rPr>
              <a:t> </a:t>
            </a:r>
            <a:r>
              <a:rPr lang="en-US" sz="1800" b="1">
                <a:solidFill>
                  <a:sysClr val="windowText" lastClr="000000"/>
                </a:solidFill>
              </a:rPr>
              <a:t>Purchases:</a:t>
            </a:r>
          </a:p>
          <a:p>
            <a:pPr algn="l"/>
            <a:endParaRPr lang="en-US" sz="2400" b="1">
              <a:solidFill>
                <a:sysClr val="windowText" lastClr="000000"/>
              </a:solidFill>
            </a:endParaRPr>
          </a:p>
          <a:p>
            <a:pPr algn="l"/>
            <a:r>
              <a:rPr lang="en-US" sz="1800" b="1">
                <a:solidFill>
                  <a:sysClr val="windowText" lastClr="000000"/>
                </a:solidFill>
              </a:rPr>
              <a:t>Most CVR:</a:t>
            </a:r>
          </a:p>
        </xdr:txBody>
      </xdr:sp>
      <xdr:sp macro="" textlink="Location!B31">
        <xdr:nvSpPr>
          <xdr:cNvPr id="9" name="TextBox 8">
            <a:extLst>
              <a:ext uri="{FF2B5EF4-FFF2-40B4-BE49-F238E27FC236}">
                <a16:creationId xmlns:a16="http://schemas.microsoft.com/office/drawing/2014/main" id="{6E7DCF76-2D0D-49A1-A235-58B34E6D4AE4}"/>
              </a:ext>
            </a:extLst>
          </xdr:cNvPr>
          <xdr:cNvSpPr txBox="1"/>
        </xdr:nvSpPr>
        <xdr:spPr>
          <a:xfrm>
            <a:off x="14987289" y="2839894"/>
            <a:ext cx="2267048" cy="4358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D1DE91AB-06D7-4083-A155-4E31D3032AB1}" type="TxLink">
              <a:rPr lang="en-US" sz="2400" b="1" i="0" u="none" strike="noStrike">
                <a:solidFill>
                  <a:srgbClr val="C00000"/>
                </a:solidFill>
                <a:latin typeface="Aptos Narrow" panose="02110004020202020204"/>
                <a:cs typeface="Calibri"/>
              </a:rPr>
              <a:pPr algn="r"/>
              <a:t>North America</a:t>
            </a:fld>
            <a:endParaRPr lang="en-US" sz="2400" b="1">
              <a:solidFill>
                <a:srgbClr val="C00000"/>
              </a:solidFill>
              <a:latin typeface="Aptos Narrow" panose="02110004020202020204"/>
            </a:endParaRPr>
          </a:p>
        </xdr:txBody>
      </xdr:sp>
      <xdr:sp macro="" textlink="Location!B39">
        <xdr:nvSpPr>
          <xdr:cNvPr id="53" name="TextBox 52">
            <a:extLst>
              <a:ext uri="{FF2B5EF4-FFF2-40B4-BE49-F238E27FC236}">
                <a16:creationId xmlns:a16="http://schemas.microsoft.com/office/drawing/2014/main" id="{E8D01322-7A13-47BD-A791-34CD5C77BF30}"/>
              </a:ext>
            </a:extLst>
          </xdr:cNvPr>
          <xdr:cNvSpPr txBox="1"/>
        </xdr:nvSpPr>
        <xdr:spPr>
          <a:xfrm>
            <a:off x="14959695" y="3554499"/>
            <a:ext cx="1518555" cy="5018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A10BB2D-0A5F-49ED-983E-8B462C9F9A29}" type="TxLink">
              <a:rPr lang="en-US" sz="2400" b="1" i="0" u="none" strike="noStrike">
                <a:solidFill>
                  <a:srgbClr val="C00000"/>
                </a:solidFill>
                <a:latin typeface="Aptos Narrow" panose="02110004020202020204"/>
                <a:cs typeface="Calibri"/>
              </a:rPr>
              <a:pPr algn="ctr"/>
              <a:t>Pacific</a:t>
            </a:fld>
            <a:endParaRPr lang="en-US" sz="2400" b="1">
              <a:solidFill>
                <a:srgbClr val="C00000"/>
              </a:solidFill>
              <a:latin typeface="Aptos Narrow" panose="02110004020202020204"/>
            </a:endParaRPr>
          </a:p>
        </xdr:txBody>
      </xdr:sp>
      <xdr:sp macro="" textlink="Location!B38">
        <xdr:nvSpPr>
          <xdr:cNvPr id="10" name="TextBox 9">
            <a:extLst>
              <a:ext uri="{FF2B5EF4-FFF2-40B4-BE49-F238E27FC236}">
                <a16:creationId xmlns:a16="http://schemas.microsoft.com/office/drawing/2014/main" id="{FE040397-0A06-4D4E-BA49-4BF56F73AC80}"/>
              </a:ext>
            </a:extLst>
          </xdr:cNvPr>
          <xdr:cNvSpPr txBox="1"/>
        </xdr:nvSpPr>
        <xdr:spPr>
          <a:xfrm>
            <a:off x="16423821" y="3554499"/>
            <a:ext cx="789215" cy="50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4140C6B-7FCE-4A8F-9FDE-768E344DB56D}" type="TxLink">
              <a:rPr lang="en-US" sz="2400" b="1" i="0" u="none" strike="noStrike">
                <a:solidFill>
                  <a:srgbClr val="C00000"/>
                </a:solidFill>
                <a:latin typeface="Aptos Narrow" panose="02110004020202020204"/>
                <a:cs typeface="Calibri"/>
              </a:rPr>
              <a:pPr/>
              <a:t>50%</a:t>
            </a:fld>
            <a:endParaRPr lang="en-US" sz="2400" b="1">
              <a:solidFill>
                <a:srgbClr val="C00000"/>
              </a:solidFill>
              <a:latin typeface="Aptos Narrow" panose="02110004020202020204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23</xdr:row>
      <xdr:rowOff>52387</xdr:rowOff>
    </xdr:from>
    <xdr:to>
      <xdr:col>6</xdr:col>
      <xdr:colOff>714375</xdr:colOff>
      <xdr:row>37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F494F-1F70-4B2E-8F12-BBE110C98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</xdr:colOff>
      <xdr:row>23</xdr:row>
      <xdr:rowOff>61912</xdr:rowOff>
    </xdr:from>
    <xdr:to>
      <xdr:col>20</xdr:col>
      <xdr:colOff>561975</xdr:colOff>
      <xdr:row>37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7B09A-5085-4A0F-9C23-B7808AF61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16</xdr:row>
      <xdr:rowOff>80962</xdr:rowOff>
    </xdr:from>
    <xdr:to>
      <xdr:col>7</xdr:col>
      <xdr:colOff>104774</xdr:colOff>
      <xdr:row>30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9E9E2-7D97-4C1B-AAA9-F6D6CCA4B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16</xdr:row>
      <xdr:rowOff>23812</xdr:rowOff>
    </xdr:from>
    <xdr:to>
      <xdr:col>17</xdr:col>
      <xdr:colOff>257175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3849B4-4459-4032-A82F-F978E59A2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514351</xdr:colOff>
      <xdr:row>20</xdr:row>
      <xdr:rowOff>66674</xdr:rowOff>
    </xdr:from>
    <xdr:to>
      <xdr:col>11</xdr:col>
      <xdr:colOff>104775</xdr:colOff>
      <xdr:row>28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F5725F-21F4-4910-B296-44578DC9D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18</xdr:row>
      <xdr:rowOff>23812</xdr:rowOff>
    </xdr:from>
    <xdr:to>
      <xdr:col>7</xdr:col>
      <xdr:colOff>190500</xdr:colOff>
      <xdr:row>32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38090-99E0-4D9A-A899-02999AE07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29</xdr:row>
      <xdr:rowOff>19049</xdr:rowOff>
    </xdr:from>
    <xdr:to>
      <xdr:col>14</xdr:col>
      <xdr:colOff>466725</xdr:colOff>
      <xdr:row>49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2328369-F70F-4045-9050-FF99FFCADF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75" y="5543549"/>
              <a:ext cx="5486400" cy="393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247650</xdr:colOff>
      <xdr:row>13</xdr:row>
      <xdr:rowOff>176212</xdr:rowOff>
    </xdr:from>
    <xdr:to>
      <xdr:col>15</xdr:col>
      <xdr:colOff>447676</xdr:colOff>
      <xdr:row>28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53A825-F400-4719-811C-99889043D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26</xdr:row>
      <xdr:rowOff>152399</xdr:rowOff>
    </xdr:from>
    <xdr:to>
      <xdr:col>9</xdr:col>
      <xdr:colOff>561975</xdr:colOff>
      <xdr:row>28</xdr:row>
      <xdr:rowOff>47624</xdr:rowOff>
    </xdr:to>
    <xdr:sp macro="" textlink="$A$15">
      <xdr:nvSpPr>
        <xdr:cNvPr id="10" name="TextBox 9">
          <a:extLst>
            <a:ext uri="{FF2B5EF4-FFF2-40B4-BE49-F238E27FC236}">
              <a16:creationId xmlns:a16="http://schemas.microsoft.com/office/drawing/2014/main" id="{037D550A-2235-4A5A-848A-D55003F41FA5}"/>
            </a:ext>
          </a:extLst>
        </xdr:cNvPr>
        <xdr:cNvSpPr txBox="1"/>
      </xdr:nvSpPr>
      <xdr:spPr>
        <a:xfrm>
          <a:off x="5610225" y="5105399"/>
          <a:ext cx="1143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87DB8D7-927E-4B00-B0C0-C334D8FB4F79}" type="TxLink">
            <a:rPr lang="en-US" sz="1200" b="1" i="0" u="none" strike="noStrike">
              <a:solidFill>
                <a:srgbClr val="000000"/>
              </a:solidFill>
              <a:latin typeface="Aptos Narrow" panose="02110004020202020204"/>
              <a:cs typeface="Calibri"/>
            </a:rPr>
            <a:pPr algn="ctr"/>
            <a:t>Europe</a:t>
          </a:fld>
          <a:endParaRPr lang="en-US" sz="1200" b="1">
            <a:latin typeface="Aptos Narrow" panose="02110004020202020204"/>
          </a:endParaRPr>
        </a:p>
      </xdr:txBody>
    </xdr:sp>
    <xdr:clientData/>
  </xdr:twoCellAnchor>
  <xdr:twoCellAnchor>
    <xdr:from>
      <xdr:col>10</xdr:col>
      <xdr:colOff>285750</xdr:colOff>
      <xdr:row>26</xdr:row>
      <xdr:rowOff>152399</xdr:rowOff>
    </xdr:from>
    <xdr:to>
      <xdr:col>12</xdr:col>
      <xdr:colOff>209550</xdr:colOff>
      <xdr:row>28</xdr:row>
      <xdr:rowOff>47624</xdr:rowOff>
    </xdr:to>
    <xdr:sp macro="" textlink="$A$16">
      <xdr:nvSpPr>
        <xdr:cNvPr id="11" name="TextBox 10">
          <a:extLst>
            <a:ext uri="{FF2B5EF4-FFF2-40B4-BE49-F238E27FC236}">
              <a16:creationId xmlns:a16="http://schemas.microsoft.com/office/drawing/2014/main" id="{DD65DBDB-79DF-40EE-BBF4-069DF2DF65D9}"/>
            </a:ext>
          </a:extLst>
        </xdr:cNvPr>
        <xdr:cNvSpPr txBox="1"/>
      </xdr:nvSpPr>
      <xdr:spPr>
        <a:xfrm>
          <a:off x="7086600" y="5105399"/>
          <a:ext cx="1143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1831018-7237-4DA0-AF8D-535D2BE1330E}" type="TxLink">
            <a:rPr lang="en-US" sz="1200" b="1" i="0" u="none" strike="noStrike">
              <a:solidFill>
                <a:srgbClr val="000000"/>
              </a:solidFill>
              <a:latin typeface="Aptos Narrow" panose="02110004020202020204"/>
              <a:cs typeface="Calibri"/>
            </a:rPr>
            <a:pPr algn="ctr"/>
            <a:t>Pacific</a:t>
          </a:fld>
          <a:endParaRPr lang="en-US" sz="1200" b="1">
            <a:latin typeface="Aptos Narrow" panose="02110004020202020204"/>
          </a:endParaRPr>
        </a:p>
      </xdr:txBody>
    </xdr:sp>
    <xdr:clientData/>
  </xdr:twoCellAnchor>
  <xdr:twoCellAnchor>
    <xdr:from>
      <xdr:col>13</xdr:col>
      <xdr:colOff>66675</xdr:colOff>
      <xdr:row>26</xdr:row>
      <xdr:rowOff>152399</xdr:rowOff>
    </xdr:from>
    <xdr:to>
      <xdr:col>14</xdr:col>
      <xdr:colOff>600075</xdr:colOff>
      <xdr:row>28</xdr:row>
      <xdr:rowOff>47624</xdr:rowOff>
    </xdr:to>
    <xdr:sp macro="" textlink="$A$17">
      <xdr:nvSpPr>
        <xdr:cNvPr id="12" name="TextBox 11">
          <a:extLst>
            <a:ext uri="{FF2B5EF4-FFF2-40B4-BE49-F238E27FC236}">
              <a16:creationId xmlns:a16="http://schemas.microsoft.com/office/drawing/2014/main" id="{8A00BB40-3E02-460A-8A1B-BCC67B9BF372}"/>
            </a:ext>
          </a:extLst>
        </xdr:cNvPr>
        <xdr:cNvSpPr txBox="1"/>
      </xdr:nvSpPr>
      <xdr:spPr>
        <a:xfrm>
          <a:off x="8696325" y="5105399"/>
          <a:ext cx="11430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261FAEA-6C82-4316-8A5D-BE62C940DA67}" type="TxLink">
            <a:rPr lang="en-US" sz="1200" b="1" i="0" u="none" strike="noStrike">
              <a:solidFill>
                <a:srgbClr val="000000"/>
              </a:solidFill>
              <a:latin typeface="Aptos Narrow" panose="02110004020202020204"/>
              <a:cs typeface="Calibri"/>
            </a:rPr>
            <a:pPr algn="ctr"/>
            <a:t>North America</a:t>
          </a:fld>
          <a:endParaRPr lang="en-US" sz="1200" b="1">
            <a:latin typeface="Aptos Narrow" panose="02110004020202020204"/>
          </a:endParaRPr>
        </a:p>
      </xdr:txBody>
    </xdr:sp>
    <xdr:clientData/>
  </xdr:twoCellAnchor>
  <xdr:twoCellAnchor>
    <xdr:from>
      <xdr:col>8</xdr:col>
      <xdr:colOff>19050</xdr:colOff>
      <xdr:row>25</xdr:row>
      <xdr:rowOff>161926</xdr:rowOff>
    </xdr:from>
    <xdr:to>
      <xdr:col>8</xdr:col>
      <xdr:colOff>457200</xdr:colOff>
      <xdr:row>27</xdr:row>
      <xdr:rowOff>28576</xdr:rowOff>
    </xdr:to>
    <xdr:sp macro="" textlink="$B$20">
      <xdr:nvSpPr>
        <xdr:cNvPr id="14" name="TextBox 13">
          <a:extLst>
            <a:ext uri="{FF2B5EF4-FFF2-40B4-BE49-F238E27FC236}">
              <a16:creationId xmlns:a16="http://schemas.microsoft.com/office/drawing/2014/main" id="{06E83004-50B8-4E6E-A414-305194231EEA}"/>
            </a:ext>
          </a:extLst>
        </xdr:cNvPr>
        <xdr:cNvSpPr txBox="1"/>
      </xdr:nvSpPr>
      <xdr:spPr>
        <a:xfrm>
          <a:off x="5600700" y="4924426"/>
          <a:ext cx="43815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9D73841F-A35F-4A09-B566-016DF06EBAC4}" type="TxLink">
            <a:rPr lang="en-US" sz="1100" b="1" i="0" u="none" strike="noStrike">
              <a:solidFill>
                <a:srgbClr val="000099"/>
              </a:solidFill>
              <a:latin typeface="Calibri"/>
              <a:cs typeface="Calibri"/>
            </a:rPr>
            <a:pPr algn="r"/>
            <a:t>49%</a:t>
          </a:fld>
          <a:endParaRPr lang="en-US" sz="1100" b="1">
            <a:solidFill>
              <a:srgbClr val="000099"/>
            </a:solidFill>
          </a:endParaRPr>
        </a:p>
      </xdr:txBody>
    </xdr:sp>
    <xdr:clientData/>
  </xdr:twoCellAnchor>
  <xdr:twoCellAnchor>
    <xdr:from>
      <xdr:col>10</xdr:col>
      <xdr:colOff>285749</xdr:colOff>
      <xdr:row>26</xdr:row>
      <xdr:rowOff>0</xdr:rowOff>
    </xdr:from>
    <xdr:to>
      <xdr:col>11</xdr:col>
      <xdr:colOff>115349</xdr:colOff>
      <xdr:row>27</xdr:row>
      <xdr:rowOff>57900</xdr:rowOff>
    </xdr:to>
    <xdr:sp macro="" textlink="$B$21">
      <xdr:nvSpPr>
        <xdr:cNvPr id="15" name="TextBox 14">
          <a:extLst>
            <a:ext uri="{FF2B5EF4-FFF2-40B4-BE49-F238E27FC236}">
              <a16:creationId xmlns:a16="http://schemas.microsoft.com/office/drawing/2014/main" id="{C688CD91-D638-4120-9E43-93E89E848325}"/>
            </a:ext>
          </a:extLst>
        </xdr:cNvPr>
        <xdr:cNvSpPr txBox="1"/>
      </xdr:nvSpPr>
      <xdr:spPr>
        <a:xfrm>
          <a:off x="7086599" y="4953000"/>
          <a:ext cx="439200" cy="248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D557E75-8318-4011-B66B-357444814596}" type="TxLink">
            <a:rPr lang="en-US" sz="1100" b="1" i="0" u="none" strike="noStrike">
              <a:solidFill>
                <a:srgbClr val="000099"/>
              </a:solidFill>
              <a:latin typeface="Calibri"/>
              <a:cs typeface="Calibri"/>
            </a:rPr>
            <a:pPr algn="l"/>
            <a:t>50%</a:t>
          </a:fld>
          <a:endParaRPr lang="en-US" sz="1100" b="1">
            <a:solidFill>
              <a:srgbClr val="000099"/>
            </a:solidFill>
          </a:endParaRPr>
        </a:p>
      </xdr:txBody>
    </xdr:sp>
    <xdr:clientData/>
  </xdr:twoCellAnchor>
  <xdr:twoCellAnchor>
    <xdr:from>
      <xdr:col>14</xdr:col>
      <xdr:colOff>209550</xdr:colOff>
      <xdr:row>25</xdr:row>
      <xdr:rowOff>123825</xdr:rowOff>
    </xdr:from>
    <xdr:to>
      <xdr:col>15</xdr:col>
      <xdr:colOff>409575</xdr:colOff>
      <xdr:row>26</xdr:row>
      <xdr:rowOff>181725</xdr:rowOff>
    </xdr:to>
    <xdr:sp macro="" textlink="$B$22">
      <xdr:nvSpPr>
        <xdr:cNvPr id="16" name="TextBox 15">
          <a:extLst>
            <a:ext uri="{FF2B5EF4-FFF2-40B4-BE49-F238E27FC236}">
              <a16:creationId xmlns:a16="http://schemas.microsoft.com/office/drawing/2014/main" id="{151F014B-B8DA-4BDA-90C9-B92E197D1653}"/>
            </a:ext>
          </a:extLst>
        </xdr:cNvPr>
        <xdr:cNvSpPr txBox="1"/>
      </xdr:nvSpPr>
      <xdr:spPr>
        <a:xfrm>
          <a:off x="9448800" y="4886325"/>
          <a:ext cx="809625" cy="248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1DC96AE7-B91C-4E11-A2F1-66F03323F63D}" type="TxLink">
            <a:rPr lang="en-US" sz="1100" b="1" i="0" u="none" strike="noStrike">
              <a:solidFill>
                <a:srgbClr val="000099"/>
              </a:solidFill>
              <a:latin typeface="Calibri"/>
              <a:cs typeface="Calibri"/>
            </a:rPr>
            <a:pPr algn="l"/>
            <a:t>41%</a:t>
          </a:fld>
          <a:endParaRPr lang="en-US" sz="1100" b="1">
            <a:solidFill>
              <a:srgbClr val="000099"/>
            </a:solidFill>
          </a:endParaRPr>
        </a:p>
      </xdr:txBody>
    </xdr:sp>
    <xdr:clientData/>
  </xdr:twoCellAnchor>
  <xdr:twoCellAnchor>
    <xdr:from>
      <xdr:col>18</xdr:col>
      <xdr:colOff>342900</xdr:colOff>
      <xdr:row>16</xdr:row>
      <xdr:rowOff>157162</xdr:rowOff>
    </xdr:from>
    <xdr:to>
      <xdr:col>26</xdr:col>
      <xdr:colOff>266700</xdr:colOff>
      <xdr:row>31</xdr:row>
      <xdr:rowOff>47624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5900349-C328-45A3-A0DF-06516812B424}"/>
            </a:ext>
          </a:extLst>
        </xdr:cNvPr>
        <xdr:cNvGrpSpPr/>
      </xdr:nvGrpSpPr>
      <xdr:grpSpPr>
        <a:xfrm>
          <a:off x="12325350" y="3205162"/>
          <a:ext cx="5314950" cy="2747962"/>
          <a:chOff x="10801350" y="3205162"/>
          <a:chExt cx="5314950" cy="2747962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7D014590-9578-416B-B034-89C534730CF0}"/>
              </a:ext>
            </a:extLst>
          </xdr:cNvPr>
          <xdr:cNvGraphicFramePr/>
        </xdr:nvGraphicFramePr>
        <xdr:xfrm>
          <a:off x="10801350" y="3205162"/>
          <a:ext cx="53149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A$17">
        <xdr:nvSpPr>
          <xdr:cNvPr id="25" name="TextBox 24">
            <a:extLst>
              <a:ext uri="{FF2B5EF4-FFF2-40B4-BE49-F238E27FC236}">
                <a16:creationId xmlns:a16="http://schemas.microsoft.com/office/drawing/2014/main" id="{33F6F290-7EC2-4E56-A868-4EA6FC2A2057}"/>
              </a:ext>
            </a:extLst>
          </xdr:cNvPr>
          <xdr:cNvSpPr txBox="1"/>
        </xdr:nvSpPr>
        <xdr:spPr>
          <a:xfrm>
            <a:off x="14735175" y="5667374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261FAEA-6C82-4316-8A5D-BE62C940DA67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North America</a:t>
            </a:fld>
            <a:endParaRPr lang="en-US" sz="1200" b="1">
              <a:latin typeface="Aptos Narrow" panose="02110004020202020204"/>
            </a:endParaRPr>
          </a:p>
        </xdr:txBody>
      </xdr:sp>
      <xdr:sp macro="" textlink="$A$16">
        <xdr:nvSpPr>
          <xdr:cNvPr id="26" name="TextBox 25">
            <a:extLst>
              <a:ext uri="{FF2B5EF4-FFF2-40B4-BE49-F238E27FC236}">
                <a16:creationId xmlns:a16="http://schemas.microsoft.com/office/drawing/2014/main" id="{B55E4BE4-4753-4F34-8CFB-7D8DF146FFD8}"/>
              </a:ext>
            </a:extLst>
          </xdr:cNvPr>
          <xdr:cNvSpPr txBox="1"/>
        </xdr:nvSpPr>
        <xdr:spPr>
          <a:xfrm>
            <a:off x="13287375" y="5657849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1831018-7237-4DA0-AF8D-535D2BE1330E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Pacific</a:t>
            </a:fld>
            <a:endParaRPr lang="en-US" sz="1200" b="1">
              <a:latin typeface="Aptos Narrow" panose="02110004020202020204"/>
            </a:endParaRPr>
          </a:p>
        </xdr:txBody>
      </xdr:sp>
      <xdr:sp macro="" textlink="$A$15">
        <xdr:nvSpPr>
          <xdr:cNvPr id="27" name="TextBox 26">
            <a:extLst>
              <a:ext uri="{FF2B5EF4-FFF2-40B4-BE49-F238E27FC236}">
                <a16:creationId xmlns:a16="http://schemas.microsoft.com/office/drawing/2014/main" id="{08FEC30E-D607-4CBB-9A7E-69315697FC13}"/>
              </a:ext>
            </a:extLst>
          </xdr:cNvPr>
          <xdr:cNvSpPr txBox="1"/>
        </xdr:nvSpPr>
        <xdr:spPr>
          <a:xfrm>
            <a:off x="11772900" y="5676899"/>
            <a:ext cx="11430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87DB8D7-927E-4B00-B0C0-C334D8FB4F79}" type="TxLink">
              <a:rPr lang="en-US" sz="1200" b="1" i="0" u="none" strike="noStrike">
                <a:solidFill>
                  <a:srgbClr val="000000"/>
                </a:solidFill>
                <a:latin typeface="Aptos Narrow" panose="02110004020202020204"/>
                <a:cs typeface="Calibri"/>
              </a:rPr>
              <a:pPr algn="ctr"/>
              <a:t>Europe</a:t>
            </a:fld>
            <a:endParaRPr lang="en-US" sz="1200" b="1">
              <a:latin typeface="Aptos Narrow" panose="02110004020202020204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8</xdr:row>
      <xdr:rowOff>14287</xdr:rowOff>
    </xdr:from>
    <xdr:to>
      <xdr:col>12</xdr:col>
      <xdr:colOff>314325</xdr:colOff>
      <xdr:row>22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2222E1-FCFF-4889-9BEA-0D7F7957C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850" y="1538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390525</xdr:colOff>
      <xdr:row>7</xdr:row>
      <xdr:rowOff>176212</xdr:rowOff>
    </xdr:from>
    <xdr:to>
      <xdr:col>20</xdr:col>
      <xdr:colOff>85725</xdr:colOff>
      <xdr:row>22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106307-4096-4D78-B79E-2E5ADFC7C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0AB86-8B68-4F98-85FD-408B16758DD3}" name="Bike_Customers_Data" displayName="Bike_Customers_Data" ref="A1:N1001" totalsRowShown="0" headerRowDxfId="2">
  <autoFilter ref="A1:N1001" xr:uid="{876AB05E-F211-418A-B18A-3A12CF515E4E}"/>
  <tableColumns count="14">
    <tableColumn id="1" xr3:uid="{EE28C198-5403-4812-9080-CC9D2CC71DA4}" name="CustomerID"/>
    <tableColumn id="2" xr3:uid="{0262FD81-75A9-49C1-9FF6-2E2F2A652749}" name="Marital_Status"/>
    <tableColumn id="3" xr3:uid="{BEB16497-B4A2-42A7-BDD8-532DF51AC67A}" name="Gender"/>
    <tableColumn id="4" xr3:uid="{18A7E82C-F93D-4075-AFEA-5D32A0C73C26}" name="Income" dataDxfId="1"/>
    <tableColumn id="5" xr3:uid="{7EA487A5-89F8-4DE0-9A3D-236F2BB1D67F}" name="Income_Group" dataDxfId="0"/>
    <tableColumn id="6" xr3:uid="{8CA6AB2F-1DA8-4183-9D5A-A77F9B2B937E}" name="Children"/>
    <tableColumn id="7" xr3:uid="{7E745AC2-895A-4BC6-85E8-64785DB96F8F}" name="Education"/>
    <tableColumn id="8" xr3:uid="{E4E14C79-B25D-49DB-9234-835EB7925DA5}" name="Occupation"/>
    <tableColumn id="9" xr3:uid="{70944278-6930-496E-864B-2BE66DB7823A}" name="Home_Status"/>
    <tableColumn id="10" xr3:uid="{D79C0985-24C6-46C8-86B2-888F43C5DF27}" name="Cars"/>
    <tableColumn id="11" xr3:uid="{38ADC10A-F11E-4B51-B5CE-4AF30D3FD4A1}" name="Commute Distance"/>
    <tableColumn id="12" xr3:uid="{7DBBA05E-7905-4200-BA55-0B965ABE057D}" name="Region"/>
    <tableColumn id="13" xr3:uid="{F2D1DA59-F457-4E39-A733-EDD205215B4E}" name="Age_Group"/>
    <tableColumn id="14" xr3:uid="{025ED527-E011-436C-BA03-24A598A098EF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35FC-0936-461A-BFA5-E612AF37750C}">
  <dimension ref="A1:M1027"/>
  <sheetViews>
    <sheetView workbookViewId="0">
      <selection activeCell="H12" sqref="H12"/>
    </sheetView>
  </sheetViews>
  <sheetFormatPr defaultColWidth="11.85546875" defaultRowHeight="15"/>
  <cols>
    <col min="2" max="2" width="13.5703125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3" max="13" width="15.425781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12496</v>
      </c>
      <c r="B2" t="s">
        <v>13</v>
      </c>
      <c r="C2" t="s">
        <v>14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3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3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3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3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3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3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3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3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3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3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3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3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3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3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3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3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3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3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3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3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3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3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3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3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3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3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4549-EA9E-4934-9B49-D1EAAEECA808}">
  <dimension ref="A1:R1001"/>
  <sheetViews>
    <sheetView workbookViewId="0">
      <selection activeCell="C2" sqref="C2"/>
    </sheetView>
  </sheetViews>
  <sheetFormatPr defaultColWidth="11.85546875" defaultRowHeight="15"/>
  <cols>
    <col min="2" max="3" width="13.5703125" customWidth="1"/>
    <col min="7" max="7" width="18.28515625" bestFit="1" customWidth="1"/>
    <col min="9" max="9" width="17.7109375" bestFit="1" customWidth="1"/>
    <col min="10" max="10" width="14.140625" bestFit="1" customWidth="1"/>
    <col min="11" max="11" width="12.7109375" bestFit="1" customWidth="1"/>
    <col min="12" max="12" width="15.140625" bestFit="1" customWidth="1"/>
    <col min="13" max="13" width="4.7109375" bestFit="1" customWidth="1"/>
    <col min="14" max="14" width="18" bestFit="1" customWidth="1"/>
    <col min="15" max="15" width="14" bestFit="1" customWidth="1"/>
    <col min="17" max="17" width="14.140625" bestFit="1" customWidth="1"/>
    <col min="18" max="18" width="15.42578125" customWidth="1"/>
  </cols>
  <sheetData>
    <row r="1" spans="1:18">
      <c r="A1" s="1" t="s">
        <v>0</v>
      </c>
      <c r="B1" s="2" t="s">
        <v>1</v>
      </c>
      <c r="C1" s="5" t="s">
        <v>37</v>
      </c>
      <c r="D1" s="2" t="s">
        <v>2</v>
      </c>
      <c r="E1" s="5" t="s">
        <v>36</v>
      </c>
      <c r="F1" s="2" t="s">
        <v>3</v>
      </c>
      <c r="G1" s="5" t="s">
        <v>39</v>
      </c>
      <c r="H1" s="2" t="s">
        <v>4</v>
      </c>
      <c r="I1" s="2" t="s">
        <v>5</v>
      </c>
      <c r="J1" s="2" t="s">
        <v>6</v>
      </c>
      <c r="K1" s="2" t="s">
        <v>7</v>
      </c>
      <c r="L1" s="5" t="s">
        <v>38</v>
      </c>
      <c r="M1" s="2" t="s">
        <v>8</v>
      </c>
      <c r="N1" s="2" t="s">
        <v>9</v>
      </c>
      <c r="O1" s="2" t="s">
        <v>10</v>
      </c>
      <c r="P1" s="2" t="s">
        <v>11</v>
      </c>
      <c r="Q1" s="5" t="s">
        <v>40</v>
      </c>
      <c r="R1" s="2" t="s">
        <v>12</v>
      </c>
    </row>
    <row r="2" spans="1:18">
      <c r="A2">
        <v>12496</v>
      </c>
      <c r="B2" t="s">
        <v>13</v>
      </c>
      <c r="C2" t="str">
        <f>IF($B$2:$B$1001="M", "Married","Single")</f>
        <v>Married</v>
      </c>
      <c r="D2" t="s">
        <v>14</v>
      </c>
      <c r="E2" t="str">
        <f>IF($D$2:$D$1001="F", "Female", "Male")</f>
        <v>Female</v>
      </c>
      <c r="F2" s="3">
        <v>40000</v>
      </c>
      <c r="G2" s="3" t="str">
        <f>_xlfn.IFS(F2&lt;=57375,"Lower Class",F2&lt;=114750,"Middle Class",F2&lt;=253414,"Upper Middle Class",TRUE,"Upper Class")</f>
        <v>Lower Class</v>
      </c>
      <c r="H2">
        <v>1</v>
      </c>
      <c r="I2" t="s">
        <v>15</v>
      </c>
      <c r="J2" t="s">
        <v>16</v>
      </c>
      <c r="K2" t="s">
        <v>17</v>
      </c>
      <c r="L2" t="str">
        <f>IF($K$2:$K$1001="Yes", "Home Owner","Tenant")</f>
        <v>Home Owner</v>
      </c>
      <c r="M2">
        <v>0</v>
      </c>
      <c r="N2" t="s">
        <v>18</v>
      </c>
      <c r="O2" t="s">
        <v>19</v>
      </c>
      <c r="P2">
        <v>42</v>
      </c>
      <c r="Q2" t="str">
        <f>_xlfn.IFS(P2&lt;25,"Less than 25 yrs",P2&lt;35,"25 to 34 yrs",P2&lt;45,"35 to 44 yrs",P2&lt;55,"45 to 54 yrs",P2&lt;65,"55 to 64 yrs", TRUE, "65 yrs &amp; Above")</f>
        <v>35 to 44 yrs</v>
      </c>
      <c r="R2" t="s">
        <v>20</v>
      </c>
    </row>
    <row r="3" spans="1:18">
      <c r="A3">
        <v>24107</v>
      </c>
      <c r="B3" t="s">
        <v>13</v>
      </c>
      <c r="C3" t="str">
        <f t="shared" ref="C3:C66" si="0">IF($B$2:$B$1001="M", "Married","Single")</f>
        <v>Married</v>
      </c>
      <c r="D3" t="s">
        <v>13</v>
      </c>
      <c r="E3" t="str">
        <f t="shared" ref="E3:E66" si="1">IF($D$2:$D$1001="F", "Female", "Male")</f>
        <v>Male</v>
      </c>
      <c r="F3" s="3">
        <v>30000</v>
      </c>
      <c r="G3" s="3" t="str">
        <f t="shared" ref="G3:G66" si="2">_xlfn.IFS(F3&lt;=57375,"Lower Class",F3&lt;=114750,"Middle Class",F3&lt;=253414,"Upper Middle Class",TRUE,"Upper Class")</f>
        <v>Lower Class</v>
      </c>
      <c r="H3">
        <v>3</v>
      </c>
      <c r="I3" t="s">
        <v>21</v>
      </c>
      <c r="J3" t="s">
        <v>22</v>
      </c>
      <c r="K3" t="s">
        <v>17</v>
      </c>
      <c r="L3" t="str">
        <f t="shared" ref="L3:L66" si="3">IF($K$2:$K$1001="Yes", "Home Owner","Tenant")</f>
        <v>Home Owner</v>
      </c>
      <c r="M3">
        <v>1</v>
      </c>
      <c r="N3" t="s">
        <v>18</v>
      </c>
      <c r="O3" t="s">
        <v>19</v>
      </c>
      <c r="P3">
        <v>43</v>
      </c>
      <c r="Q3" t="str">
        <f t="shared" ref="Q3:Q66" si="4">_xlfn.IFS(P3&lt;25,"Less than 25 yrs",P3&lt;35,"25 to 34 yrs",P3&lt;45,"35 to 44 yrs",P3&lt;55,"45 to 54 yrs",P3&lt;65,"55 to 64 yrs", TRUE, "65 yrs &amp; Above")</f>
        <v>35 to 44 yrs</v>
      </c>
      <c r="R3" t="s">
        <v>20</v>
      </c>
    </row>
    <row r="4" spans="1:18">
      <c r="A4">
        <v>14177</v>
      </c>
      <c r="B4" t="s">
        <v>13</v>
      </c>
      <c r="C4" t="str">
        <f t="shared" si="0"/>
        <v>Married</v>
      </c>
      <c r="D4" t="s">
        <v>13</v>
      </c>
      <c r="E4" t="str">
        <f t="shared" si="1"/>
        <v>Male</v>
      </c>
      <c r="F4" s="3">
        <v>80000</v>
      </c>
      <c r="G4" s="3" t="str">
        <f t="shared" si="2"/>
        <v>Middle Class</v>
      </c>
      <c r="H4">
        <v>5</v>
      </c>
      <c r="I4" t="s">
        <v>21</v>
      </c>
      <c r="J4" t="s">
        <v>23</v>
      </c>
      <c r="K4" t="s">
        <v>20</v>
      </c>
      <c r="L4" t="str">
        <f t="shared" si="3"/>
        <v>Tenant</v>
      </c>
      <c r="M4">
        <v>2</v>
      </c>
      <c r="N4" t="s">
        <v>24</v>
      </c>
      <c r="O4" t="s">
        <v>19</v>
      </c>
      <c r="P4">
        <v>60</v>
      </c>
      <c r="Q4" t="str">
        <f t="shared" si="4"/>
        <v>55 to 64 yrs</v>
      </c>
      <c r="R4" t="s">
        <v>20</v>
      </c>
    </row>
    <row r="5" spans="1:18">
      <c r="A5">
        <v>24381</v>
      </c>
      <c r="B5" t="s">
        <v>25</v>
      </c>
      <c r="C5" t="str">
        <f t="shared" si="0"/>
        <v>Single</v>
      </c>
      <c r="D5" t="s">
        <v>13</v>
      </c>
      <c r="E5" t="str">
        <f t="shared" si="1"/>
        <v>Male</v>
      </c>
      <c r="F5" s="3">
        <v>70000</v>
      </c>
      <c r="G5" s="3" t="str">
        <f t="shared" si="2"/>
        <v>Middle Class</v>
      </c>
      <c r="H5">
        <v>0</v>
      </c>
      <c r="I5" t="s">
        <v>15</v>
      </c>
      <c r="J5" t="s">
        <v>23</v>
      </c>
      <c r="K5" t="s">
        <v>17</v>
      </c>
      <c r="L5" t="str">
        <f t="shared" si="3"/>
        <v>Home Owner</v>
      </c>
      <c r="M5">
        <v>1</v>
      </c>
      <c r="N5" t="s">
        <v>26</v>
      </c>
      <c r="O5" t="s">
        <v>27</v>
      </c>
      <c r="P5">
        <v>41</v>
      </c>
      <c r="Q5" t="str">
        <f t="shared" si="4"/>
        <v>35 to 44 yrs</v>
      </c>
      <c r="R5" t="s">
        <v>17</v>
      </c>
    </row>
    <row r="6" spans="1:18">
      <c r="A6">
        <v>25597</v>
      </c>
      <c r="B6" t="s">
        <v>25</v>
      </c>
      <c r="C6" t="str">
        <f t="shared" si="0"/>
        <v>Single</v>
      </c>
      <c r="D6" t="s">
        <v>13</v>
      </c>
      <c r="E6" t="str">
        <f t="shared" si="1"/>
        <v>Male</v>
      </c>
      <c r="F6" s="3">
        <v>30000</v>
      </c>
      <c r="G6" s="3" t="str">
        <f t="shared" si="2"/>
        <v>Lower Class</v>
      </c>
      <c r="H6">
        <v>0</v>
      </c>
      <c r="I6" t="s">
        <v>15</v>
      </c>
      <c r="J6" t="s">
        <v>22</v>
      </c>
      <c r="K6" t="s">
        <v>20</v>
      </c>
      <c r="L6" t="str">
        <f t="shared" si="3"/>
        <v>Tenant</v>
      </c>
      <c r="M6">
        <v>0</v>
      </c>
      <c r="N6" t="s">
        <v>18</v>
      </c>
      <c r="O6" t="s">
        <v>19</v>
      </c>
      <c r="P6">
        <v>36</v>
      </c>
      <c r="Q6" t="str">
        <f t="shared" si="4"/>
        <v>35 to 44 yrs</v>
      </c>
      <c r="R6" t="s">
        <v>17</v>
      </c>
    </row>
    <row r="7" spans="1:18">
      <c r="A7">
        <v>13507</v>
      </c>
      <c r="B7" t="s">
        <v>13</v>
      </c>
      <c r="C7" t="str">
        <f t="shared" si="0"/>
        <v>Married</v>
      </c>
      <c r="D7" t="s">
        <v>14</v>
      </c>
      <c r="E7" t="str">
        <f t="shared" si="1"/>
        <v>Female</v>
      </c>
      <c r="F7" s="3">
        <v>10000</v>
      </c>
      <c r="G7" s="3" t="str">
        <f t="shared" si="2"/>
        <v>Lower Class</v>
      </c>
      <c r="H7">
        <v>2</v>
      </c>
      <c r="I7" t="s">
        <v>21</v>
      </c>
      <c r="J7" t="s">
        <v>28</v>
      </c>
      <c r="K7" t="s">
        <v>17</v>
      </c>
      <c r="L7" t="str">
        <f t="shared" si="3"/>
        <v>Home Owner</v>
      </c>
      <c r="M7">
        <v>0</v>
      </c>
      <c r="N7" t="s">
        <v>29</v>
      </c>
      <c r="O7" t="s">
        <v>19</v>
      </c>
      <c r="P7">
        <v>50</v>
      </c>
      <c r="Q7" t="str">
        <f t="shared" si="4"/>
        <v>45 to 54 yrs</v>
      </c>
      <c r="R7" t="s">
        <v>20</v>
      </c>
    </row>
    <row r="8" spans="1:18">
      <c r="A8">
        <v>27974</v>
      </c>
      <c r="B8" t="s">
        <v>25</v>
      </c>
      <c r="C8" t="str">
        <f t="shared" si="0"/>
        <v>Single</v>
      </c>
      <c r="D8" t="s">
        <v>13</v>
      </c>
      <c r="E8" t="str">
        <f t="shared" si="1"/>
        <v>Male</v>
      </c>
      <c r="F8" s="3">
        <v>160000</v>
      </c>
      <c r="G8" s="3" t="str">
        <f t="shared" si="2"/>
        <v>Upper Middle Class</v>
      </c>
      <c r="H8">
        <v>2</v>
      </c>
      <c r="I8" t="s">
        <v>30</v>
      </c>
      <c r="J8" t="s">
        <v>31</v>
      </c>
      <c r="K8" t="s">
        <v>17</v>
      </c>
      <c r="L8" t="str">
        <f t="shared" si="3"/>
        <v>Home Owner</v>
      </c>
      <c r="M8">
        <v>4</v>
      </c>
      <c r="N8" t="s">
        <v>18</v>
      </c>
      <c r="O8" t="s">
        <v>27</v>
      </c>
      <c r="P8">
        <v>33</v>
      </c>
      <c r="Q8" t="str">
        <f t="shared" si="4"/>
        <v>25 to 34 yrs</v>
      </c>
      <c r="R8" t="s">
        <v>17</v>
      </c>
    </row>
    <row r="9" spans="1:18">
      <c r="A9">
        <v>19364</v>
      </c>
      <c r="B9" t="s">
        <v>13</v>
      </c>
      <c r="C9" t="str">
        <f t="shared" si="0"/>
        <v>Married</v>
      </c>
      <c r="D9" t="s">
        <v>13</v>
      </c>
      <c r="E9" t="str">
        <f t="shared" si="1"/>
        <v>Male</v>
      </c>
      <c r="F9" s="3">
        <v>40000</v>
      </c>
      <c r="G9" s="3" t="str">
        <f t="shared" si="2"/>
        <v>Lower Class</v>
      </c>
      <c r="H9">
        <v>1</v>
      </c>
      <c r="I9" t="s">
        <v>15</v>
      </c>
      <c r="J9" t="s">
        <v>16</v>
      </c>
      <c r="K9" t="s">
        <v>17</v>
      </c>
      <c r="L9" t="str">
        <f t="shared" si="3"/>
        <v>Home Owner</v>
      </c>
      <c r="M9">
        <v>0</v>
      </c>
      <c r="N9" t="s">
        <v>18</v>
      </c>
      <c r="O9" t="s">
        <v>19</v>
      </c>
      <c r="P9">
        <v>43</v>
      </c>
      <c r="Q9" t="str">
        <f t="shared" si="4"/>
        <v>35 to 44 yrs</v>
      </c>
      <c r="R9" t="s">
        <v>17</v>
      </c>
    </row>
    <row r="10" spans="1:18">
      <c r="A10">
        <v>22155</v>
      </c>
      <c r="B10" t="s">
        <v>13</v>
      </c>
      <c r="C10" t="str">
        <f t="shared" si="0"/>
        <v>Married</v>
      </c>
      <c r="D10" t="s">
        <v>13</v>
      </c>
      <c r="E10" t="str">
        <f t="shared" si="1"/>
        <v>Male</v>
      </c>
      <c r="F10" s="3">
        <v>20000</v>
      </c>
      <c r="G10" s="3" t="str">
        <f t="shared" si="2"/>
        <v>Lower Class</v>
      </c>
      <c r="H10">
        <v>2</v>
      </c>
      <c r="I10" t="s">
        <v>32</v>
      </c>
      <c r="J10" t="s">
        <v>22</v>
      </c>
      <c r="K10" t="s">
        <v>17</v>
      </c>
      <c r="L10" t="str">
        <f t="shared" si="3"/>
        <v>Home Owner</v>
      </c>
      <c r="M10">
        <v>2</v>
      </c>
      <c r="N10" t="s">
        <v>26</v>
      </c>
      <c r="O10" t="s">
        <v>27</v>
      </c>
      <c r="P10">
        <v>58</v>
      </c>
      <c r="Q10" t="str">
        <f t="shared" si="4"/>
        <v>55 to 64 yrs</v>
      </c>
      <c r="R10" t="s">
        <v>20</v>
      </c>
    </row>
    <row r="11" spans="1:18">
      <c r="A11">
        <v>19280</v>
      </c>
      <c r="B11" t="s">
        <v>13</v>
      </c>
      <c r="C11" t="str">
        <f t="shared" si="0"/>
        <v>Married</v>
      </c>
      <c r="D11" t="s">
        <v>13</v>
      </c>
      <c r="E11" t="str">
        <f t="shared" si="1"/>
        <v>Male</v>
      </c>
      <c r="F11" s="3">
        <v>120000</v>
      </c>
      <c r="G11" s="3" t="str">
        <f t="shared" si="2"/>
        <v>Upper Middle Class</v>
      </c>
      <c r="H11">
        <v>2</v>
      </c>
      <c r="I11" t="s">
        <v>21</v>
      </c>
      <c r="J11" t="s">
        <v>28</v>
      </c>
      <c r="K11" t="s">
        <v>17</v>
      </c>
      <c r="L11" t="str">
        <f t="shared" si="3"/>
        <v>Home Owner</v>
      </c>
      <c r="M11">
        <v>1</v>
      </c>
      <c r="N11" t="s">
        <v>18</v>
      </c>
      <c r="O11" t="s">
        <v>19</v>
      </c>
      <c r="P11">
        <v>40</v>
      </c>
      <c r="Q11" t="str">
        <f t="shared" si="4"/>
        <v>35 to 44 yrs</v>
      </c>
      <c r="R11" t="s">
        <v>17</v>
      </c>
    </row>
    <row r="12" spans="1:18">
      <c r="A12">
        <v>22173</v>
      </c>
      <c r="B12" t="s">
        <v>13</v>
      </c>
      <c r="C12" t="str">
        <f t="shared" si="0"/>
        <v>Married</v>
      </c>
      <c r="D12" t="s">
        <v>14</v>
      </c>
      <c r="E12" t="str">
        <f t="shared" si="1"/>
        <v>Female</v>
      </c>
      <c r="F12" s="3">
        <v>30000</v>
      </c>
      <c r="G12" s="3" t="str">
        <f t="shared" si="2"/>
        <v>Lower Class</v>
      </c>
      <c r="H12">
        <v>3</v>
      </c>
      <c r="I12" t="s">
        <v>30</v>
      </c>
      <c r="J12" t="s">
        <v>16</v>
      </c>
      <c r="K12" t="s">
        <v>20</v>
      </c>
      <c r="L12" t="str">
        <f t="shared" si="3"/>
        <v>Tenant</v>
      </c>
      <c r="M12">
        <v>2</v>
      </c>
      <c r="N12" t="s">
        <v>29</v>
      </c>
      <c r="O12" t="s">
        <v>27</v>
      </c>
      <c r="P12">
        <v>54</v>
      </c>
      <c r="Q12" t="str">
        <f t="shared" si="4"/>
        <v>45 to 54 yrs</v>
      </c>
      <c r="R12" t="s">
        <v>17</v>
      </c>
    </row>
    <row r="13" spans="1:18">
      <c r="A13">
        <v>12697</v>
      </c>
      <c r="B13" t="s">
        <v>25</v>
      </c>
      <c r="C13" t="str">
        <f t="shared" si="0"/>
        <v>Single</v>
      </c>
      <c r="D13" t="s">
        <v>14</v>
      </c>
      <c r="E13" t="str">
        <f t="shared" si="1"/>
        <v>Female</v>
      </c>
      <c r="F13" s="3">
        <v>90000</v>
      </c>
      <c r="G13" s="3" t="str">
        <f t="shared" si="2"/>
        <v>Middle Class</v>
      </c>
      <c r="H13">
        <v>0</v>
      </c>
      <c r="I13" t="s">
        <v>15</v>
      </c>
      <c r="J13" t="s">
        <v>23</v>
      </c>
      <c r="K13" t="s">
        <v>20</v>
      </c>
      <c r="L13" t="str">
        <f t="shared" si="3"/>
        <v>Tenant</v>
      </c>
      <c r="M13">
        <v>4</v>
      </c>
      <c r="N13" t="s">
        <v>33</v>
      </c>
      <c r="O13" t="s">
        <v>27</v>
      </c>
      <c r="P13">
        <v>36</v>
      </c>
      <c r="Q13" t="str">
        <f t="shared" si="4"/>
        <v>35 to 44 yrs</v>
      </c>
      <c r="R13" t="s">
        <v>20</v>
      </c>
    </row>
    <row r="14" spans="1:18">
      <c r="A14">
        <v>11434</v>
      </c>
      <c r="B14" t="s">
        <v>13</v>
      </c>
      <c r="C14" t="str">
        <f t="shared" si="0"/>
        <v>Married</v>
      </c>
      <c r="D14" t="s">
        <v>13</v>
      </c>
      <c r="E14" t="str">
        <f t="shared" si="1"/>
        <v>Male</v>
      </c>
      <c r="F14" s="3">
        <v>170000</v>
      </c>
      <c r="G14" s="3" t="str">
        <f t="shared" si="2"/>
        <v>Upper Middle Class</v>
      </c>
      <c r="H14">
        <v>5</v>
      </c>
      <c r="I14" t="s">
        <v>21</v>
      </c>
      <c r="J14" t="s">
        <v>23</v>
      </c>
      <c r="K14" t="s">
        <v>17</v>
      </c>
      <c r="L14" t="str">
        <f t="shared" si="3"/>
        <v>Home Owner</v>
      </c>
      <c r="M14">
        <v>0</v>
      </c>
      <c r="N14" t="s">
        <v>18</v>
      </c>
      <c r="O14" t="s">
        <v>19</v>
      </c>
      <c r="P14">
        <v>55</v>
      </c>
      <c r="Q14" t="str">
        <f t="shared" si="4"/>
        <v>55 to 64 yrs</v>
      </c>
      <c r="R14" t="s">
        <v>20</v>
      </c>
    </row>
    <row r="15" spans="1:18">
      <c r="A15">
        <v>25323</v>
      </c>
      <c r="B15" t="s">
        <v>13</v>
      </c>
      <c r="C15" t="str">
        <f t="shared" si="0"/>
        <v>Married</v>
      </c>
      <c r="D15" t="s">
        <v>13</v>
      </c>
      <c r="E15" t="str">
        <f t="shared" si="1"/>
        <v>Male</v>
      </c>
      <c r="F15" s="3">
        <v>40000</v>
      </c>
      <c r="G15" s="3" t="str">
        <f t="shared" si="2"/>
        <v>Lower Class</v>
      </c>
      <c r="H15">
        <v>2</v>
      </c>
      <c r="I15" t="s">
        <v>21</v>
      </c>
      <c r="J15" t="s">
        <v>22</v>
      </c>
      <c r="K15" t="s">
        <v>17</v>
      </c>
      <c r="L15" t="str">
        <f t="shared" si="3"/>
        <v>Home Owner</v>
      </c>
      <c r="M15">
        <v>1</v>
      </c>
      <c r="N15" t="s">
        <v>29</v>
      </c>
      <c r="O15" t="s">
        <v>19</v>
      </c>
      <c r="P15">
        <v>35</v>
      </c>
      <c r="Q15" t="str">
        <f t="shared" si="4"/>
        <v>35 to 44 yrs</v>
      </c>
      <c r="R15" t="s">
        <v>17</v>
      </c>
    </row>
    <row r="16" spans="1:18">
      <c r="A16">
        <v>23542</v>
      </c>
      <c r="B16" t="s">
        <v>25</v>
      </c>
      <c r="C16" t="str">
        <f t="shared" si="0"/>
        <v>Single</v>
      </c>
      <c r="D16" t="s">
        <v>13</v>
      </c>
      <c r="E16" t="str">
        <f t="shared" si="1"/>
        <v>Male</v>
      </c>
      <c r="F16" s="3">
        <v>60000</v>
      </c>
      <c r="G16" s="3" t="str">
        <f t="shared" si="2"/>
        <v>Middle Class</v>
      </c>
      <c r="H16">
        <v>1</v>
      </c>
      <c r="I16" t="s">
        <v>21</v>
      </c>
      <c r="J16" t="s">
        <v>16</v>
      </c>
      <c r="K16" t="s">
        <v>20</v>
      </c>
      <c r="L16" t="str">
        <f t="shared" si="3"/>
        <v>Tenant</v>
      </c>
      <c r="M16">
        <v>1</v>
      </c>
      <c r="N16" t="s">
        <v>18</v>
      </c>
      <c r="O16" t="s">
        <v>27</v>
      </c>
      <c r="P16">
        <v>45</v>
      </c>
      <c r="Q16" t="str">
        <f t="shared" si="4"/>
        <v>45 to 54 yrs</v>
      </c>
      <c r="R16" t="s">
        <v>17</v>
      </c>
    </row>
    <row r="17" spans="1:18">
      <c r="A17">
        <v>20870</v>
      </c>
      <c r="B17" t="s">
        <v>25</v>
      </c>
      <c r="C17" t="str">
        <f t="shared" si="0"/>
        <v>Single</v>
      </c>
      <c r="D17" t="s">
        <v>14</v>
      </c>
      <c r="E17" t="str">
        <f t="shared" si="1"/>
        <v>Female</v>
      </c>
      <c r="F17" s="3">
        <v>10000</v>
      </c>
      <c r="G17" s="3" t="str">
        <f t="shared" si="2"/>
        <v>Lower Class</v>
      </c>
      <c r="H17">
        <v>2</v>
      </c>
      <c r="I17" t="s">
        <v>30</v>
      </c>
      <c r="J17" t="s">
        <v>28</v>
      </c>
      <c r="K17" t="s">
        <v>17</v>
      </c>
      <c r="L17" t="str">
        <f t="shared" si="3"/>
        <v>Home Owner</v>
      </c>
      <c r="M17">
        <v>1</v>
      </c>
      <c r="N17" t="s">
        <v>18</v>
      </c>
      <c r="O17" t="s">
        <v>19</v>
      </c>
      <c r="P17">
        <v>38</v>
      </c>
      <c r="Q17" t="str">
        <f t="shared" si="4"/>
        <v>35 to 44 yrs</v>
      </c>
      <c r="R17" t="s">
        <v>17</v>
      </c>
    </row>
    <row r="18" spans="1:18">
      <c r="A18">
        <v>23316</v>
      </c>
      <c r="B18" t="s">
        <v>25</v>
      </c>
      <c r="C18" t="str">
        <f t="shared" si="0"/>
        <v>Single</v>
      </c>
      <c r="D18" t="s">
        <v>13</v>
      </c>
      <c r="E18" t="str">
        <f t="shared" si="1"/>
        <v>Male</v>
      </c>
      <c r="F18" s="3">
        <v>30000</v>
      </c>
      <c r="G18" s="3" t="str">
        <f t="shared" si="2"/>
        <v>Lower Class</v>
      </c>
      <c r="H18">
        <v>3</v>
      </c>
      <c r="I18" t="s">
        <v>21</v>
      </c>
      <c r="J18" t="s">
        <v>22</v>
      </c>
      <c r="K18" t="s">
        <v>20</v>
      </c>
      <c r="L18" t="str">
        <f t="shared" si="3"/>
        <v>Tenant</v>
      </c>
      <c r="M18">
        <v>2</v>
      </c>
      <c r="N18" t="s">
        <v>29</v>
      </c>
      <c r="O18" t="s">
        <v>27</v>
      </c>
      <c r="P18">
        <v>59</v>
      </c>
      <c r="Q18" t="str">
        <f t="shared" si="4"/>
        <v>55 to 64 yrs</v>
      </c>
      <c r="R18" t="s">
        <v>17</v>
      </c>
    </row>
    <row r="19" spans="1:18">
      <c r="A19">
        <v>12610</v>
      </c>
      <c r="B19" t="s">
        <v>13</v>
      </c>
      <c r="C19" t="str">
        <f t="shared" si="0"/>
        <v>Married</v>
      </c>
      <c r="D19" t="s">
        <v>14</v>
      </c>
      <c r="E19" t="str">
        <f t="shared" si="1"/>
        <v>Female</v>
      </c>
      <c r="F19" s="3">
        <v>30000</v>
      </c>
      <c r="G19" s="3" t="str">
        <f t="shared" si="2"/>
        <v>Lower Class</v>
      </c>
      <c r="H19">
        <v>1</v>
      </c>
      <c r="I19" t="s">
        <v>15</v>
      </c>
      <c r="J19" t="s">
        <v>22</v>
      </c>
      <c r="K19" t="s">
        <v>17</v>
      </c>
      <c r="L19" t="str">
        <f t="shared" si="3"/>
        <v>Home Owner</v>
      </c>
      <c r="M19">
        <v>0</v>
      </c>
      <c r="N19" t="s">
        <v>18</v>
      </c>
      <c r="O19" t="s">
        <v>19</v>
      </c>
      <c r="P19">
        <v>47</v>
      </c>
      <c r="Q19" t="str">
        <f t="shared" si="4"/>
        <v>45 to 54 yrs</v>
      </c>
      <c r="R19" t="s">
        <v>20</v>
      </c>
    </row>
    <row r="20" spans="1:18">
      <c r="A20">
        <v>27183</v>
      </c>
      <c r="B20" t="s">
        <v>25</v>
      </c>
      <c r="C20" t="str">
        <f t="shared" si="0"/>
        <v>Single</v>
      </c>
      <c r="D20" t="s">
        <v>13</v>
      </c>
      <c r="E20" t="str">
        <f t="shared" si="1"/>
        <v>Male</v>
      </c>
      <c r="F20" s="3">
        <v>40000</v>
      </c>
      <c r="G20" s="3" t="str">
        <f t="shared" si="2"/>
        <v>Lower Class</v>
      </c>
      <c r="H20">
        <v>2</v>
      </c>
      <c r="I20" t="s">
        <v>21</v>
      </c>
      <c r="J20" t="s">
        <v>22</v>
      </c>
      <c r="K20" t="s">
        <v>17</v>
      </c>
      <c r="L20" t="str">
        <f t="shared" si="3"/>
        <v>Home Owner</v>
      </c>
      <c r="M20">
        <v>1</v>
      </c>
      <c r="N20" t="s">
        <v>29</v>
      </c>
      <c r="O20" t="s">
        <v>19</v>
      </c>
      <c r="P20">
        <v>35</v>
      </c>
      <c r="Q20" t="str">
        <f t="shared" si="4"/>
        <v>35 to 44 yrs</v>
      </c>
      <c r="R20" t="s">
        <v>17</v>
      </c>
    </row>
    <row r="21" spans="1:18">
      <c r="A21">
        <v>25940</v>
      </c>
      <c r="B21" t="s">
        <v>25</v>
      </c>
      <c r="C21" t="str">
        <f t="shared" si="0"/>
        <v>Single</v>
      </c>
      <c r="D21" t="s">
        <v>13</v>
      </c>
      <c r="E21" t="str">
        <f t="shared" si="1"/>
        <v>Male</v>
      </c>
      <c r="F21" s="3">
        <v>20000</v>
      </c>
      <c r="G21" s="3" t="str">
        <f t="shared" si="2"/>
        <v>Lower Class</v>
      </c>
      <c r="H21">
        <v>2</v>
      </c>
      <c r="I21" t="s">
        <v>32</v>
      </c>
      <c r="J21" t="s">
        <v>22</v>
      </c>
      <c r="K21" t="s">
        <v>17</v>
      </c>
      <c r="L21" t="str">
        <f t="shared" si="3"/>
        <v>Home Owner</v>
      </c>
      <c r="M21">
        <v>2</v>
      </c>
      <c r="N21" t="s">
        <v>26</v>
      </c>
      <c r="O21" t="s">
        <v>27</v>
      </c>
      <c r="P21">
        <v>55</v>
      </c>
      <c r="Q21" t="str">
        <f t="shared" si="4"/>
        <v>55 to 64 yrs</v>
      </c>
      <c r="R21" t="s">
        <v>17</v>
      </c>
    </row>
    <row r="22" spans="1:18">
      <c r="A22">
        <v>25598</v>
      </c>
      <c r="B22" t="s">
        <v>13</v>
      </c>
      <c r="C22" t="str">
        <f t="shared" si="0"/>
        <v>Married</v>
      </c>
      <c r="D22" t="s">
        <v>14</v>
      </c>
      <c r="E22" t="str">
        <f t="shared" si="1"/>
        <v>Female</v>
      </c>
      <c r="F22" s="3">
        <v>40000</v>
      </c>
      <c r="G22" s="3" t="str">
        <f t="shared" si="2"/>
        <v>Lower Class</v>
      </c>
      <c r="H22">
        <v>0</v>
      </c>
      <c r="I22" t="s">
        <v>34</v>
      </c>
      <c r="J22" t="s">
        <v>22</v>
      </c>
      <c r="K22" t="s">
        <v>17</v>
      </c>
      <c r="L22" t="str">
        <f t="shared" si="3"/>
        <v>Home Owner</v>
      </c>
      <c r="M22">
        <v>0</v>
      </c>
      <c r="N22" t="s">
        <v>18</v>
      </c>
      <c r="O22" t="s">
        <v>19</v>
      </c>
      <c r="P22">
        <v>36</v>
      </c>
      <c r="Q22" t="str">
        <f t="shared" si="4"/>
        <v>35 to 44 yrs</v>
      </c>
      <c r="R22" t="s">
        <v>17</v>
      </c>
    </row>
    <row r="23" spans="1:18">
      <c r="A23">
        <v>21564</v>
      </c>
      <c r="B23" t="s">
        <v>25</v>
      </c>
      <c r="C23" t="str">
        <f t="shared" si="0"/>
        <v>Single</v>
      </c>
      <c r="D23" t="s">
        <v>14</v>
      </c>
      <c r="E23" t="str">
        <f t="shared" si="1"/>
        <v>Female</v>
      </c>
      <c r="F23" s="3">
        <v>80000</v>
      </c>
      <c r="G23" s="3" t="str">
        <f t="shared" si="2"/>
        <v>Middle Class</v>
      </c>
      <c r="H23">
        <v>0</v>
      </c>
      <c r="I23" t="s">
        <v>15</v>
      </c>
      <c r="J23" t="s">
        <v>23</v>
      </c>
      <c r="K23" t="s">
        <v>17</v>
      </c>
      <c r="L23" t="str">
        <f t="shared" si="3"/>
        <v>Home Owner</v>
      </c>
      <c r="M23">
        <v>4</v>
      </c>
      <c r="N23" t="s">
        <v>33</v>
      </c>
      <c r="O23" t="s">
        <v>27</v>
      </c>
      <c r="P23">
        <v>35</v>
      </c>
      <c r="Q23" t="str">
        <f t="shared" si="4"/>
        <v>35 to 44 yrs</v>
      </c>
      <c r="R23" t="s">
        <v>20</v>
      </c>
    </row>
    <row r="24" spans="1:18">
      <c r="A24">
        <v>19193</v>
      </c>
      <c r="B24" t="s">
        <v>25</v>
      </c>
      <c r="C24" t="str">
        <f t="shared" si="0"/>
        <v>Single</v>
      </c>
      <c r="D24" t="s">
        <v>13</v>
      </c>
      <c r="E24" t="str">
        <f t="shared" si="1"/>
        <v>Male</v>
      </c>
      <c r="F24" s="3">
        <v>40000</v>
      </c>
      <c r="G24" s="3" t="str">
        <f t="shared" si="2"/>
        <v>Lower Class</v>
      </c>
      <c r="H24">
        <v>2</v>
      </c>
      <c r="I24" t="s">
        <v>21</v>
      </c>
      <c r="J24" t="s">
        <v>22</v>
      </c>
      <c r="K24" t="s">
        <v>17</v>
      </c>
      <c r="L24" t="str">
        <f t="shared" si="3"/>
        <v>Home Owner</v>
      </c>
      <c r="M24">
        <v>0</v>
      </c>
      <c r="N24" t="s">
        <v>29</v>
      </c>
      <c r="O24" t="s">
        <v>19</v>
      </c>
      <c r="P24">
        <v>35</v>
      </c>
      <c r="Q24" t="str">
        <f t="shared" si="4"/>
        <v>35 to 44 yrs</v>
      </c>
      <c r="R24" t="s">
        <v>17</v>
      </c>
    </row>
    <row r="25" spans="1:18">
      <c r="A25">
        <v>26412</v>
      </c>
      <c r="B25" t="s">
        <v>13</v>
      </c>
      <c r="C25" t="str">
        <f t="shared" si="0"/>
        <v>Married</v>
      </c>
      <c r="D25" t="s">
        <v>14</v>
      </c>
      <c r="E25" t="str">
        <f t="shared" si="1"/>
        <v>Female</v>
      </c>
      <c r="F25" s="3">
        <v>80000</v>
      </c>
      <c r="G25" s="3" t="str">
        <f t="shared" si="2"/>
        <v>Middle Class</v>
      </c>
      <c r="H25">
        <v>5</v>
      </c>
      <c r="I25" t="s">
        <v>30</v>
      </c>
      <c r="J25" t="s">
        <v>31</v>
      </c>
      <c r="K25" t="s">
        <v>20</v>
      </c>
      <c r="L25" t="str">
        <f t="shared" si="3"/>
        <v>Tenant</v>
      </c>
      <c r="M25">
        <v>3</v>
      </c>
      <c r="N25" t="s">
        <v>26</v>
      </c>
      <c r="O25" t="s">
        <v>19</v>
      </c>
      <c r="P25">
        <v>56</v>
      </c>
      <c r="Q25" t="str">
        <f t="shared" si="4"/>
        <v>55 to 64 yrs</v>
      </c>
      <c r="R25" t="s">
        <v>20</v>
      </c>
    </row>
    <row r="26" spans="1:18">
      <c r="A26">
        <v>27184</v>
      </c>
      <c r="B26" t="s">
        <v>25</v>
      </c>
      <c r="C26" t="str">
        <f t="shared" si="0"/>
        <v>Single</v>
      </c>
      <c r="D26" t="s">
        <v>13</v>
      </c>
      <c r="E26" t="str">
        <f t="shared" si="1"/>
        <v>Male</v>
      </c>
      <c r="F26" s="3">
        <v>40000</v>
      </c>
      <c r="G26" s="3" t="str">
        <f t="shared" si="2"/>
        <v>Lower Class</v>
      </c>
      <c r="H26">
        <v>2</v>
      </c>
      <c r="I26" t="s">
        <v>21</v>
      </c>
      <c r="J26" t="s">
        <v>22</v>
      </c>
      <c r="K26" t="s">
        <v>20</v>
      </c>
      <c r="L26" t="str">
        <f t="shared" si="3"/>
        <v>Tenant</v>
      </c>
      <c r="M26">
        <v>1</v>
      </c>
      <c r="N26" t="s">
        <v>18</v>
      </c>
      <c r="O26" t="s">
        <v>19</v>
      </c>
      <c r="P26">
        <v>34</v>
      </c>
      <c r="Q26" t="str">
        <f t="shared" si="4"/>
        <v>25 to 34 yrs</v>
      </c>
      <c r="R26" t="s">
        <v>20</v>
      </c>
    </row>
    <row r="27" spans="1:18">
      <c r="A27">
        <v>12590</v>
      </c>
      <c r="B27" t="s">
        <v>25</v>
      </c>
      <c r="C27" t="str">
        <f t="shared" si="0"/>
        <v>Single</v>
      </c>
      <c r="D27" t="s">
        <v>13</v>
      </c>
      <c r="E27" t="str">
        <f t="shared" si="1"/>
        <v>Male</v>
      </c>
      <c r="F27" s="3">
        <v>30000</v>
      </c>
      <c r="G27" s="3" t="str">
        <f t="shared" si="2"/>
        <v>Lower Class</v>
      </c>
      <c r="H27">
        <v>1</v>
      </c>
      <c r="I27" t="s">
        <v>15</v>
      </c>
      <c r="J27" t="s">
        <v>22</v>
      </c>
      <c r="K27" t="s">
        <v>17</v>
      </c>
      <c r="L27" t="str">
        <f t="shared" si="3"/>
        <v>Home Owner</v>
      </c>
      <c r="M27">
        <v>0</v>
      </c>
      <c r="N27" t="s">
        <v>18</v>
      </c>
      <c r="O27" t="s">
        <v>19</v>
      </c>
      <c r="P27">
        <v>63</v>
      </c>
      <c r="Q27" t="str">
        <f t="shared" si="4"/>
        <v>55 to 64 yrs</v>
      </c>
      <c r="R27" t="s">
        <v>20</v>
      </c>
    </row>
    <row r="28" spans="1:18">
      <c r="A28">
        <v>17841</v>
      </c>
      <c r="B28" t="s">
        <v>25</v>
      </c>
      <c r="C28" t="str">
        <f t="shared" si="0"/>
        <v>Single</v>
      </c>
      <c r="D28" t="s">
        <v>13</v>
      </c>
      <c r="E28" t="str">
        <f t="shared" si="1"/>
        <v>Male</v>
      </c>
      <c r="F28" s="3">
        <v>30000</v>
      </c>
      <c r="G28" s="3" t="str">
        <f t="shared" si="2"/>
        <v>Lower Class</v>
      </c>
      <c r="H28">
        <v>0</v>
      </c>
      <c r="I28" t="s">
        <v>21</v>
      </c>
      <c r="J28" t="s">
        <v>22</v>
      </c>
      <c r="K28" t="s">
        <v>20</v>
      </c>
      <c r="L28" t="str">
        <f t="shared" si="3"/>
        <v>Tenant</v>
      </c>
      <c r="M28">
        <v>1</v>
      </c>
      <c r="N28" t="s">
        <v>18</v>
      </c>
      <c r="O28" t="s">
        <v>19</v>
      </c>
      <c r="P28">
        <v>29</v>
      </c>
      <c r="Q28" t="str">
        <f t="shared" si="4"/>
        <v>25 to 34 yrs</v>
      </c>
      <c r="R28" t="s">
        <v>17</v>
      </c>
    </row>
    <row r="29" spans="1:18">
      <c r="A29">
        <v>18283</v>
      </c>
      <c r="B29" t="s">
        <v>25</v>
      </c>
      <c r="C29" t="str">
        <f t="shared" si="0"/>
        <v>Single</v>
      </c>
      <c r="D29" t="s">
        <v>14</v>
      </c>
      <c r="E29" t="str">
        <f t="shared" si="1"/>
        <v>Female</v>
      </c>
      <c r="F29" s="3">
        <v>100000</v>
      </c>
      <c r="G29" s="3" t="str">
        <f t="shared" si="2"/>
        <v>Middle Class</v>
      </c>
      <c r="H29">
        <v>0</v>
      </c>
      <c r="I29" t="s">
        <v>15</v>
      </c>
      <c r="J29" t="s">
        <v>23</v>
      </c>
      <c r="K29" t="s">
        <v>20</v>
      </c>
      <c r="L29" t="str">
        <f t="shared" si="3"/>
        <v>Tenant</v>
      </c>
      <c r="M29">
        <v>1</v>
      </c>
      <c r="N29" t="s">
        <v>26</v>
      </c>
      <c r="O29" t="s">
        <v>27</v>
      </c>
      <c r="P29">
        <v>40</v>
      </c>
      <c r="Q29" t="str">
        <f t="shared" si="4"/>
        <v>35 to 44 yrs</v>
      </c>
      <c r="R29" t="s">
        <v>20</v>
      </c>
    </row>
    <row r="30" spans="1:18">
      <c r="A30">
        <v>18299</v>
      </c>
      <c r="B30" t="s">
        <v>13</v>
      </c>
      <c r="C30" t="str">
        <f t="shared" si="0"/>
        <v>Married</v>
      </c>
      <c r="D30" t="s">
        <v>13</v>
      </c>
      <c r="E30" t="str">
        <f t="shared" si="1"/>
        <v>Male</v>
      </c>
      <c r="F30" s="3">
        <v>70000</v>
      </c>
      <c r="G30" s="3" t="str">
        <f t="shared" si="2"/>
        <v>Middle Class</v>
      </c>
      <c r="H30">
        <v>5</v>
      </c>
      <c r="I30" t="s">
        <v>21</v>
      </c>
      <c r="J30" t="s">
        <v>16</v>
      </c>
      <c r="K30" t="s">
        <v>17</v>
      </c>
      <c r="L30" t="str">
        <f t="shared" si="3"/>
        <v>Home Owner</v>
      </c>
      <c r="M30">
        <v>2</v>
      </c>
      <c r="N30" t="s">
        <v>26</v>
      </c>
      <c r="O30" t="s">
        <v>27</v>
      </c>
      <c r="P30">
        <v>44</v>
      </c>
      <c r="Q30" t="str">
        <f t="shared" si="4"/>
        <v>35 to 44 yrs</v>
      </c>
      <c r="R30" t="s">
        <v>20</v>
      </c>
    </row>
    <row r="31" spans="1:18">
      <c r="A31">
        <v>16466</v>
      </c>
      <c r="B31" t="s">
        <v>25</v>
      </c>
      <c r="C31" t="str">
        <f t="shared" si="0"/>
        <v>Single</v>
      </c>
      <c r="D31" t="s">
        <v>14</v>
      </c>
      <c r="E31" t="str">
        <f t="shared" si="1"/>
        <v>Female</v>
      </c>
      <c r="F31" s="3">
        <v>20000</v>
      </c>
      <c r="G31" s="3" t="str">
        <f t="shared" si="2"/>
        <v>Lower Class</v>
      </c>
      <c r="H31">
        <v>0</v>
      </c>
      <c r="I31" t="s">
        <v>32</v>
      </c>
      <c r="J31" t="s">
        <v>28</v>
      </c>
      <c r="K31" t="s">
        <v>20</v>
      </c>
      <c r="L31" t="str">
        <f t="shared" si="3"/>
        <v>Tenant</v>
      </c>
      <c r="M31">
        <v>2</v>
      </c>
      <c r="N31" t="s">
        <v>18</v>
      </c>
      <c r="O31" t="s">
        <v>19</v>
      </c>
      <c r="P31">
        <v>32</v>
      </c>
      <c r="Q31" t="str">
        <f t="shared" si="4"/>
        <v>25 to 34 yrs</v>
      </c>
      <c r="R31" t="s">
        <v>17</v>
      </c>
    </row>
    <row r="32" spans="1:18">
      <c r="A32">
        <v>19273</v>
      </c>
      <c r="B32" t="s">
        <v>13</v>
      </c>
      <c r="C32" t="str">
        <f t="shared" si="0"/>
        <v>Married</v>
      </c>
      <c r="D32" t="s">
        <v>14</v>
      </c>
      <c r="E32" t="str">
        <f t="shared" si="1"/>
        <v>Female</v>
      </c>
      <c r="F32" s="3">
        <v>20000</v>
      </c>
      <c r="G32" s="3" t="str">
        <f t="shared" si="2"/>
        <v>Lower Class</v>
      </c>
      <c r="H32">
        <v>2</v>
      </c>
      <c r="I32" t="s">
        <v>21</v>
      </c>
      <c r="J32" t="s">
        <v>28</v>
      </c>
      <c r="K32" t="s">
        <v>17</v>
      </c>
      <c r="L32" t="str">
        <f t="shared" si="3"/>
        <v>Home Owner</v>
      </c>
      <c r="M32">
        <v>0</v>
      </c>
      <c r="N32" t="s">
        <v>18</v>
      </c>
      <c r="O32" t="s">
        <v>19</v>
      </c>
      <c r="P32">
        <v>63</v>
      </c>
      <c r="Q32" t="str">
        <f t="shared" si="4"/>
        <v>55 to 64 yrs</v>
      </c>
      <c r="R32" t="s">
        <v>20</v>
      </c>
    </row>
    <row r="33" spans="1:18">
      <c r="A33">
        <v>22400</v>
      </c>
      <c r="B33" t="s">
        <v>13</v>
      </c>
      <c r="C33" t="str">
        <f t="shared" si="0"/>
        <v>Married</v>
      </c>
      <c r="D33" t="s">
        <v>13</v>
      </c>
      <c r="E33" t="str">
        <f t="shared" si="1"/>
        <v>Male</v>
      </c>
      <c r="F33" s="3">
        <v>10000</v>
      </c>
      <c r="G33" s="3" t="str">
        <f t="shared" si="2"/>
        <v>Lower Class</v>
      </c>
      <c r="H33">
        <v>0</v>
      </c>
      <c r="I33" t="s">
        <v>21</v>
      </c>
      <c r="J33" t="s">
        <v>28</v>
      </c>
      <c r="K33" t="s">
        <v>20</v>
      </c>
      <c r="L33" t="str">
        <f t="shared" si="3"/>
        <v>Tenant</v>
      </c>
      <c r="M33">
        <v>1</v>
      </c>
      <c r="N33" t="s">
        <v>18</v>
      </c>
      <c r="O33" t="s">
        <v>27</v>
      </c>
      <c r="P33">
        <v>26</v>
      </c>
      <c r="Q33" t="str">
        <f t="shared" si="4"/>
        <v>25 to 34 yrs</v>
      </c>
      <c r="R33" t="s">
        <v>17</v>
      </c>
    </row>
    <row r="34" spans="1:18">
      <c r="A34">
        <v>20942</v>
      </c>
      <c r="B34" t="s">
        <v>25</v>
      </c>
      <c r="C34" t="str">
        <f t="shared" si="0"/>
        <v>Single</v>
      </c>
      <c r="D34" t="s">
        <v>14</v>
      </c>
      <c r="E34" t="str">
        <f t="shared" si="1"/>
        <v>Female</v>
      </c>
      <c r="F34" s="3">
        <v>20000</v>
      </c>
      <c r="G34" s="3" t="str">
        <f t="shared" si="2"/>
        <v>Lower Class</v>
      </c>
      <c r="H34">
        <v>0</v>
      </c>
      <c r="I34" t="s">
        <v>30</v>
      </c>
      <c r="J34" t="s">
        <v>28</v>
      </c>
      <c r="K34" t="s">
        <v>20</v>
      </c>
      <c r="L34" t="str">
        <f t="shared" si="3"/>
        <v>Tenant</v>
      </c>
      <c r="M34">
        <v>1</v>
      </c>
      <c r="N34" t="s">
        <v>26</v>
      </c>
      <c r="O34" t="s">
        <v>19</v>
      </c>
      <c r="P34">
        <v>31</v>
      </c>
      <c r="Q34" t="str">
        <f t="shared" si="4"/>
        <v>25 to 34 yrs</v>
      </c>
      <c r="R34" t="s">
        <v>20</v>
      </c>
    </row>
    <row r="35" spans="1:18">
      <c r="A35">
        <v>18484</v>
      </c>
      <c r="B35" t="s">
        <v>25</v>
      </c>
      <c r="C35" t="str">
        <f t="shared" si="0"/>
        <v>Single</v>
      </c>
      <c r="D35" t="s">
        <v>13</v>
      </c>
      <c r="E35" t="str">
        <f t="shared" si="1"/>
        <v>Male</v>
      </c>
      <c r="F35" s="3">
        <v>80000</v>
      </c>
      <c r="G35" s="3" t="str">
        <f t="shared" si="2"/>
        <v>Middle Class</v>
      </c>
      <c r="H35">
        <v>2</v>
      </c>
      <c r="I35" t="s">
        <v>30</v>
      </c>
      <c r="J35" t="s">
        <v>16</v>
      </c>
      <c r="K35" t="s">
        <v>20</v>
      </c>
      <c r="L35" t="str">
        <f t="shared" si="3"/>
        <v>Tenant</v>
      </c>
      <c r="M35">
        <v>2</v>
      </c>
      <c r="N35" t="s">
        <v>29</v>
      </c>
      <c r="O35" t="s">
        <v>27</v>
      </c>
      <c r="P35">
        <v>50</v>
      </c>
      <c r="Q35" t="str">
        <f t="shared" si="4"/>
        <v>45 to 54 yrs</v>
      </c>
      <c r="R35" t="s">
        <v>17</v>
      </c>
    </row>
    <row r="36" spans="1:18">
      <c r="A36">
        <v>12291</v>
      </c>
      <c r="B36" t="s">
        <v>25</v>
      </c>
      <c r="C36" t="str">
        <f t="shared" si="0"/>
        <v>Single</v>
      </c>
      <c r="D36" t="s">
        <v>13</v>
      </c>
      <c r="E36" t="str">
        <f t="shared" si="1"/>
        <v>Male</v>
      </c>
      <c r="F36" s="3">
        <v>90000</v>
      </c>
      <c r="G36" s="3" t="str">
        <f t="shared" si="2"/>
        <v>Middle Class</v>
      </c>
      <c r="H36">
        <v>5</v>
      </c>
      <c r="I36" t="s">
        <v>21</v>
      </c>
      <c r="J36" t="s">
        <v>23</v>
      </c>
      <c r="K36" t="s">
        <v>20</v>
      </c>
      <c r="L36" t="str">
        <f t="shared" si="3"/>
        <v>Tenant</v>
      </c>
      <c r="M36">
        <v>2</v>
      </c>
      <c r="N36" t="s">
        <v>24</v>
      </c>
      <c r="O36" t="s">
        <v>19</v>
      </c>
      <c r="P36">
        <v>62</v>
      </c>
      <c r="Q36" t="str">
        <f t="shared" si="4"/>
        <v>55 to 64 yrs</v>
      </c>
      <c r="R36" t="s">
        <v>17</v>
      </c>
    </row>
    <row r="37" spans="1:18">
      <c r="A37">
        <v>28380</v>
      </c>
      <c r="B37" t="s">
        <v>25</v>
      </c>
      <c r="C37" t="str">
        <f t="shared" si="0"/>
        <v>Single</v>
      </c>
      <c r="D37" t="s">
        <v>14</v>
      </c>
      <c r="E37" t="str">
        <f t="shared" si="1"/>
        <v>Female</v>
      </c>
      <c r="F37" s="3">
        <v>10000</v>
      </c>
      <c r="G37" s="3" t="str">
        <f t="shared" si="2"/>
        <v>Lower Class</v>
      </c>
      <c r="H37">
        <v>5</v>
      </c>
      <c r="I37" t="s">
        <v>32</v>
      </c>
      <c r="J37" t="s">
        <v>28</v>
      </c>
      <c r="K37" t="s">
        <v>20</v>
      </c>
      <c r="L37" t="str">
        <f t="shared" si="3"/>
        <v>Tenant</v>
      </c>
      <c r="M37">
        <v>2</v>
      </c>
      <c r="N37" t="s">
        <v>18</v>
      </c>
      <c r="O37" t="s">
        <v>19</v>
      </c>
      <c r="P37">
        <v>41</v>
      </c>
      <c r="Q37" t="str">
        <f t="shared" si="4"/>
        <v>35 to 44 yrs</v>
      </c>
      <c r="R37" t="s">
        <v>20</v>
      </c>
    </row>
    <row r="38" spans="1:18">
      <c r="A38">
        <v>17891</v>
      </c>
      <c r="B38" t="s">
        <v>13</v>
      </c>
      <c r="C38" t="str">
        <f t="shared" si="0"/>
        <v>Married</v>
      </c>
      <c r="D38" t="s">
        <v>14</v>
      </c>
      <c r="E38" t="str">
        <f t="shared" si="1"/>
        <v>Female</v>
      </c>
      <c r="F38" s="3">
        <v>10000</v>
      </c>
      <c r="G38" s="3" t="str">
        <f t="shared" si="2"/>
        <v>Lower Class</v>
      </c>
      <c r="H38">
        <v>2</v>
      </c>
      <c r="I38" t="s">
        <v>21</v>
      </c>
      <c r="J38" t="s">
        <v>28</v>
      </c>
      <c r="K38" t="s">
        <v>17</v>
      </c>
      <c r="L38" t="str">
        <f t="shared" si="3"/>
        <v>Home Owner</v>
      </c>
      <c r="M38">
        <v>1</v>
      </c>
      <c r="N38" t="s">
        <v>18</v>
      </c>
      <c r="O38" t="s">
        <v>19</v>
      </c>
      <c r="P38">
        <v>50</v>
      </c>
      <c r="Q38" t="str">
        <f t="shared" si="4"/>
        <v>45 to 54 yrs</v>
      </c>
      <c r="R38" t="s">
        <v>17</v>
      </c>
    </row>
    <row r="39" spans="1:18">
      <c r="A39">
        <v>27832</v>
      </c>
      <c r="B39" t="s">
        <v>25</v>
      </c>
      <c r="C39" t="str">
        <f t="shared" si="0"/>
        <v>Single</v>
      </c>
      <c r="D39" t="s">
        <v>14</v>
      </c>
      <c r="E39" t="str">
        <f t="shared" si="1"/>
        <v>Female</v>
      </c>
      <c r="F39" s="3">
        <v>30000</v>
      </c>
      <c r="G39" s="3" t="str">
        <f t="shared" si="2"/>
        <v>Lower Class</v>
      </c>
      <c r="H39">
        <v>0</v>
      </c>
      <c r="I39" t="s">
        <v>21</v>
      </c>
      <c r="J39" t="s">
        <v>22</v>
      </c>
      <c r="K39" t="s">
        <v>20</v>
      </c>
      <c r="L39" t="str">
        <f t="shared" si="3"/>
        <v>Tenant</v>
      </c>
      <c r="M39">
        <v>1</v>
      </c>
      <c r="N39" t="s">
        <v>24</v>
      </c>
      <c r="O39" t="s">
        <v>19</v>
      </c>
      <c r="P39">
        <v>30</v>
      </c>
      <c r="Q39" t="str">
        <f t="shared" si="4"/>
        <v>25 to 34 yrs</v>
      </c>
      <c r="R39" t="s">
        <v>20</v>
      </c>
    </row>
    <row r="40" spans="1:18">
      <c r="A40">
        <v>26863</v>
      </c>
      <c r="B40" t="s">
        <v>25</v>
      </c>
      <c r="C40" t="str">
        <f t="shared" si="0"/>
        <v>Single</v>
      </c>
      <c r="D40" t="s">
        <v>13</v>
      </c>
      <c r="E40" t="str">
        <f t="shared" si="1"/>
        <v>Male</v>
      </c>
      <c r="F40" s="3">
        <v>20000</v>
      </c>
      <c r="G40" s="3" t="str">
        <f t="shared" si="2"/>
        <v>Lower Class</v>
      </c>
      <c r="H40">
        <v>0</v>
      </c>
      <c r="I40" t="s">
        <v>30</v>
      </c>
      <c r="J40" t="s">
        <v>28</v>
      </c>
      <c r="K40" t="s">
        <v>20</v>
      </c>
      <c r="L40" t="str">
        <f t="shared" si="3"/>
        <v>Tenant</v>
      </c>
      <c r="M40">
        <v>1</v>
      </c>
      <c r="N40" t="s">
        <v>24</v>
      </c>
      <c r="O40" t="s">
        <v>19</v>
      </c>
      <c r="P40">
        <v>28</v>
      </c>
      <c r="Q40" t="str">
        <f t="shared" si="4"/>
        <v>25 to 34 yrs</v>
      </c>
      <c r="R40" t="s">
        <v>20</v>
      </c>
    </row>
    <row r="41" spans="1:18">
      <c r="A41">
        <v>16259</v>
      </c>
      <c r="B41" t="s">
        <v>25</v>
      </c>
      <c r="C41" t="str">
        <f t="shared" si="0"/>
        <v>Single</v>
      </c>
      <c r="D41" t="s">
        <v>14</v>
      </c>
      <c r="E41" t="str">
        <f t="shared" si="1"/>
        <v>Female</v>
      </c>
      <c r="F41" s="3">
        <v>10000</v>
      </c>
      <c r="G41" s="3" t="str">
        <f t="shared" si="2"/>
        <v>Lower Class</v>
      </c>
      <c r="H41">
        <v>4</v>
      </c>
      <c r="I41" t="s">
        <v>32</v>
      </c>
      <c r="J41" t="s">
        <v>28</v>
      </c>
      <c r="K41" t="s">
        <v>17</v>
      </c>
      <c r="L41" t="str">
        <f t="shared" si="3"/>
        <v>Home Owner</v>
      </c>
      <c r="M41">
        <v>2</v>
      </c>
      <c r="N41" t="s">
        <v>18</v>
      </c>
      <c r="O41" t="s">
        <v>19</v>
      </c>
      <c r="P41">
        <v>40</v>
      </c>
      <c r="Q41" t="str">
        <f t="shared" si="4"/>
        <v>35 to 44 yrs</v>
      </c>
      <c r="R41" t="s">
        <v>17</v>
      </c>
    </row>
    <row r="42" spans="1:18">
      <c r="A42">
        <v>27803</v>
      </c>
      <c r="B42" t="s">
        <v>25</v>
      </c>
      <c r="C42" t="str">
        <f t="shared" si="0"/>
        <v>Single</v>
      </c>
      <c r="D42" t="s">
        <v>14</v>
      </c>
      <c r="E42" t="str">
        <f t="shared" si="1"/>
        <v>Female</v>
      </c>
      <c r="F42" s="3">
        <v>30000</v>
      </c>
      <c r="G42" s="3" t="str">
        <f t="shared" si="2"/>
        <v>Lower Class</v>
      </c>
      <c r="H42">
        <v>2</v>
      </c>
      <c r="I42" t="s">
        <v>21</v>
      </c>
      <c r="J42" t="s">
        <v>22</v>
      </c>
      <c r="K42" t="s">
        <v>20</v>
      </c>
      <c r="L42" t="str">
        <f t="shared" si="3"/>
        <v>Tenant</v>
      </c>
      <c r="M42">
        <v>0</v>
      </c>
      <c r="N42" t="s">
        <v>18</v>
      </c>
      <c r="O42" t="s">
        <v>19</v>
      </c>
      <c r="P42">
        <v>43</v>
      </c>
      <c r="Q42" t="str">
        <f t="shared" si="4"/>
        <v>35 to 44 yrs</v>
      </c>
      <c r="R42" t="s">
        <v>20</v>
      </c>
    </row>
    <row r="43" spans="1:18">
      <c r="A43">
        <v>14347</v>
      </c>
      <c r="B43" t="s">
        <v>25</v>
      </c>
      <c r="C43" t="str">
        <f t="shared" si="0"/>
        <v>Single</v>
      </c>
      <c r="D43" t="s">
        <v>14</v>
      </c>
      <c r="E43" t="str">
        <f t="shared" si="1"/>
        <v>Female</v>
      </c>
      <c r="F43" s="3">
        <v>40000</v>
      </c>
      <c r="G43" s="3" t="str">
        <f t="shared" si="2"/>
        <v>Lower Class</v>
      </c>
      <c r="H43">
        <v>2</v>
      </c>
      <c r="I43" t="s">
        <v>15</v>
      </c>
      <c r="J43" t="s">
        <v>31</v>
      </c>
      <c r="K43" t="s">
        <v>17</v>
      </c>
      <c r="L43" t="str">
        <f t="shared" si="3"/>
        <v>Home Owner</v>
      </c>
      <c r="M43">
        <v>2</v>
      </c>
      <c r="N43" t="s">
        <v>26</v>
      </c>
      <c r="O43" t="s">
        <v>27</v>
      </c>
      <c r="P43">
        <v>65</v>
      </c>
      <c r="Q43" t="str">
        <f t="shared" si="4"/>
        <v>65 yrs &amp; Above</v>
      </c>
      <c r="R43" t="s">
        <v>17</v>
      </c>
    </row>
    <row r="44" spans="1:18">
      <c r="A44">
        <v>17703</v>
      </c>
      <c r="B44" t="s">
        <v>13</v>
      </c>
      <c r="C44" t="str">
        <f t="shared" si="0"/>
        <v>Married</v>
      </c>
      <c r="D44" t="s">
        <v>14</v>
      </c>
      <c r="E44" t="str">
        <f t="shared" si="1"/>
        <v>Female</v>
      </c>
      <c r="F44" s="3">
        <v>10000</v>
      </c>
      <c r="G44" s="3" t="str">
        <f t="shared" si="2"/>
        <v>Lower Class</v>
      </c>
      <c r="H44">
        <v>1</v>
      </c>
      <c r="I44" t="s">
        <v>34</v>
      </c>
      <c r="J44" t="s">
        <v>28</v>
      </c>
      <c r="K44" t="s">
        <v>17</v>
      </c>
      <c r="L44" t="str">
        <f t="shared" si="3"/>
        <v>Home Owner</v>
      </c>
      <c r="M44">
        <v>0</v>
      </c>
      <c r="N44" t="s">
        <v>18</v>
      </c>
      <c r="O44" t="s">
        <v>19</v>
      </c>
      <c r="P44">
        <v>40</v>
      </c>
      <c r="Q44" t="str">
        <f t="shared" si="4"/>
        <v>35 to 44 yrs</v>
      </c>
      <c r="R44" t="s">
        <v>20</v>
      </c>
    </row>
    <row r="45" spans="1:18">
      <c r="A45">
        <v>17185</v>
      </c>
      <c r="B45" t="s">
        <v>13</v>
      </c>
      <c r="C45" t="str">
        <f t="shared" si="0"/>
        <v>Married</v>
      </c>
      <c r="D45" t="s">
        <v>14</v>
      </c>
      <c r="E45" t="str">
        <f t="shared" si="1"/>
        <v>Female</v>
      </c>
      <c r="F45" s="3">
        <v>170000</v>
      </c>
      <c r="G45" s="3" t="str">
        <f t="shared" si="2"/>
        <v>Upper Middle Class</v>
      </c>
      <c r="H45">
        <v>4</v>
      </c>
      <c r="I45" t="s">
        <v>21</v>
      </c>
      <c r="J45" t="s">
        <v>23</v>
      </c>
      <c r="K45" t="s">
        <v>20</v>
      </c>
      <c r="L45" t="str">
        <f t="shared" si="3"/>
        <v>Tenant</v>
      </c>
      <c r="M45">
        <v>3</v>
      </c>
      <c r="N45" t="s">
        <v>26</v>
      </c>
      <c r="O45" t="s">
        <v>19</v>
      </c>
      <c r="P45">
        <v>48</v>
      </c>
      <c r="Q45" t="str">
        <f t="shared" si="4"/>
        <v>45 to 54 yrs</v>
      </c>
      <c r="R45" t="s">
        <v>17</v>
      </c>
    </row>
    <row r="46" spans="1:18">
      <c r="A46">
        <v>29380</v>
      </c>
      <c r="B46" t="s">
        <v>13</v>
      </c>
      <c r="C46" t="str">
        <f t="shared" si="0"/>
        <v>Married</v>
      </c>
      <c r="D46" t="s">
        <v>14</v>
      </c>
      <c r="E46" t="str">
        <f t="shared" si="1"/>
        <v>Female</v>
      </c>
      <c r="F46" s="3">
        <v>20000</v>
      </c>
      <c r="G46" s="3" t="str">
        <f t="shared" si="2"/>
        <v>Lower Class</v>
      </c>
      <c r="H46">
        <v>3</v>
      </c>
      <c r="I46" t="s">
        <v>30</v>
      </c>
      <c r="J46" t="s">
        <v>28</v>
      </c>
      <c r="K46" t="s">
        <v>17</v>
      </c>
      <c r="L46" t="str">
        <f t="shared" si="3"/>
        <v>Home Owner</v>
      </c>
      <c r="M46">
        <v>0</v>
      </c>
      <c r="N46" t="s">
        <v>18</v>
      </c>
      <c r="O46" t="s">
        <v>19</v>
      </c>
      <c r="P46">
        <v>41</v>
      </c>
      <c r="Q46" t="str">
        <f t="shared" si="4"/>
        <v>35 to 44 yrs</v>
      </c>
      <c r="R46" t="s">
        <v>17</v>
      </c>
    </row>
    <row r="47" spans="1:18">
      <c r="A47">
        <v>23986</v>
      </c>
      <c r="B47" t="s">
        <v>13</v>
      </c>
      <c r="C47" t="str">
        <f t="shared" si="0"/>
        <v>Married</v>
      </c>
      <c r="D47" t="s">
        <v>14</v>
      </c>
      <c r="E47" t="str">
        <f t="shared" si="1"/>
        <v>Female</v>
      </c>
      <c r="F47" s="3">
        <v>20000</v>
      </c>
      <c r="G47" s="3" t="str">
        <f t="shared" si="2"/>
        <v>Lower Class</v>
      </c>
      <c r="H47">
        <v>1</v>
      </c>
      <c r="I47" t="s">
        <v>15</v>
      </c>
      <c r="J47" t="s">
        <v>22</v>
      </c>
      <c r="K47" t="s">
        <v>17</v>
      </c>
      <c r="L47" t="str">
        <f t="shared" si="3"/>
        <v>Home Owner</v>
      </c>
      <c r="M47">
        <v>0</v>
      </c>
      <c r="N47" t="s">
        <v>18</v>
      </c>
      <c r="O47" t="s">
        <v>19</v>
      </c>
      <c r="P47">
        <v>66</v>
      </c>
      <c r="Q47" t="str">
        <f t="shared" si="4"/>
        <v>65 yrs &amp; Above</v>
      </c>
      <c r="R47" t="s">
        <v>17</v>
      </c>
    </row>
    <row r="48" spans="1:18">
      <c r="A48">
        <v>24466</v>
      </c>
      <c r="B48" t="s">
        <v>13</v>
      </c>
      <c r="C48" t="str">
        <f t="shared" si="0"/>
        <v>Married</v>
      </c>
      <c r="D48" t="s">
        <v>14</v>
      </c>
      <c r="E48" t="str">
        <f t="shared" si="1"/>
        <v>Female</v>
      </c>
      <c r="F48" s="3">
        <v>60000</v>
      </c>
      <c r="G48" s="3" t="str">
        <f t="shared" si="2"/>
        <v>Middle Class</v>
      </c>
      <c r="H48">
        <v>1</v>
      </c>
      <c r="I48" t="s">
        <v>21</v>
      </c>
      <c r="J48" t="s">
        <v>16</v>
      </c>
      <c r="K48" t="s">
        <v>17</v>
      </c>
      <c r="L48" t="str">
        <f t="shared" si="3"/>
        <v>Home Owner</v>
      </c>
      <c r="M48">
        <v>1</v>
      </c>
      <c r="N48" t="s">
        <v>26</v>
      </c>
      <c r="O48" t="s">
        <v>27</v>
      </c>
      <c r="P48">
        <v>46</v>
      </c>
      <c r="Q48" t="str">
        <f t="shared" si="4"/>
        <v>45 to 54 yrs</v>
      </c>
      <c r="R48" t="s">
        <v>17</v>
      </c>
    </row>
    <row r="49" spans="1:18">
      <c r="A49">
        <v>29097</v>
      </c>
      <c r="B49" t="s">
        <v>25</v>
      </c>
      <c r="C49" t="str">
        <f t="shared" si="0"/>
        <v>Single</v>
      </c>
      <c r="D49" t="s">
        <v>14</v>
      </c>
      <c r="E49" t="str">
        <f t="shared" si="1"/>
        <v>Female</v>
      </c>
      <c r="F49" s="3">
        <v>40000</v>
      </c>
      <c r="G49" s="3" t="str">
        <f t="shared" si="2"/>
        <v>Lower Class</v>
      </c>
      <c r="H49">
        <v>2</v>
      </c>
      <c r="I49" t="s">
        <v>21</v>
      </c>
      <c r="J49" t="s">
        <v>16</v>
      </c>
      <c r="K49" t="s">
        <v>17</v>
      </c>
      <c r="L49" t="str">
        <f t="shared" si="3"/>
        <v>Home Owner</v>
      </c>
      <c r="M49">
        <v>2</v>
      </c>
      <c r="N49" t="s">
        <v>26</v>
      </c>
      <c r="O49" t="s">
        <v>27</v>
      </c>
      <c r="P49">
        <v>52</v>
      </c>
      <c r="Q49" t="str">
        <f t="shared" si="4"/>
        <v>45 to 54 yrs</v>
      </c>
      <c r="R49" t="s">
        <v>17</v>
      </c>
    </row>
    <row r="50" spans="1:18">
      <c r="A50">
        <v>19487</v>
      </c>
      <c r="B50" t="s">
        <v>13</v>
      </c>
      <c r="C50" t="str">
        <f t="shared" si="0"/>
        <v>Married</v>
      </c>
      <c r="D50" t="s">
        <v>13</v>
      </c>
      <c r="E50" t="str">
        <f t="shared" si="1"/>
        <v>Male</v>
      </c>
      <c r="F50" s="3">
        <v>30000</v>
      </c>
      <c r="G50" s="3" t="str">
        <f t="shared" si="2"/>
        <v>Lower Class</v>
      </c>
      <c r="H50">
        <v>2</v>
      </c>
      <c r="I50" t="s">
        <v>21</v>
      </c>
      <c r="J50" t="s">
        <v>22</v>
      </c>
      <c r="K50" t="s">
        <v>20</v>
      </c>
      <c r="L50" t="str">
        <f t="shared" si="3"/>
        <v>Tenant</v>
      </c>
      <c r="M50">
        <v>2</v>
      </c>
      <c r="N50" t="s">
        <v>18</v>
      </c>
      <c r="O50" t="s">
        <v>19</v>
      </c>
      <c r="P50">
        <v>42</v>
      </c>
      <c r="Q50" t="str">
        <f t="shared" si="4"/>
        <v>35 to 44 yrs</v>
      </c>
      <c r="R50" t="s">
        <v>20</v>
      </c>
    </row>
    <row r="51" spans="1:18">
      <c r="A51">
        <v>14939</v>
      </c>
      <c r="B51" t="s">
        <v>25</v>
      </c>
      <c r="C51" t="str">
        <f t="shared" si="0"/>
        <v>Single</v>
      </c>
      <c r="D51" t="s">
        <v>13</v>
      </c>
      <c r="E51" t="str">
        <f t="shared" si="1"/>
        <v>Male</v>
      </c>
      <c r="F51" s="3">
        <v>40000</v>
      </c>
      <c r="G51" s="3" t="str">
        <f t="shared" si="2"/>
        <v>Lower Class</v>
      </c>
      <c r="H51">
        <v>0</v>
      </c>
      <c r="I51" t="s">
        <v>15</v>
      </c>
      <c r="J51" t="s">
        <v>22</v>
      </c>
      <c r="K51" t="s">
        <v>17</v>
      </c>
      <c r="L51" t="str">
        <f t="shared" si="3"/>
        <v>Home Owner</v>
      </c>
      <c r="M51">
        <v>0</v>
      </c>
      <c r="N51" t="s">
        <v>18</v>
      </c>
      <c r="O51" t="s">
        <v>19</v>
      </c>
      <c r="P51">
        <v>39</v>
      </c>
      <c r="Q51" t="str">
        <f t="shared" si="4"/>
        <v>35 to 44 yrs</v>
      </c>
      <c r="R51" t="s">
        <v>17</v>
      </c>
    </row>
    <row r="52" spans="1:18">
      <c r="A52">
        <v>13826</v>
      </c>
      <c r="B52" t="s">
        <v>25</v>
      </c>
      <c r="C52" t="str">
        <f t="shared" si="0"/>
        <v>Single</v>
      </c>
      <c r="D52" t="s">
        <v>14</v>
      </c>
      <c r="E52" t="str">
        <f t="shared" si="1"/>
        <v>Female</v>
      </c>
      <c r="F52" s="3">
        <v>30000</v>
      </c>
      <c r="G52" s="3" t="str">
        <f t="shared" si="2"/>
        <v>Lower Class</v>
      </c>
      <c r="H52">
        <v>0</v>
      </c>
      <c r="I52" t="s">
        <v>21</v>
      </c>
      <c r="J52" t="s">
        <v>22</v>
      </c>
      <c r="K52" t="s">
        <v>20</v>
      </c>
      <c r="L52" t="str">
        <f t="shared" si="3"/>
        <v>Tenant</v>
      </c>
      <c r="M52">
        <v>1</v>
      </c>
      <c r="N52" t="s">
        <v>18</v>
      </c>
      <c r="O52" t="s">
        <v>19</v>
      </c>
      <c r="P52">
        <v>28</v>
      </c>
      <c r="Q52" t="str">
        <f t="shared" si="4"/>
        <v>25 to 34 yrs</v>
      </c>
      <c r="R52" t="s">
        <v>20</v>
      </c>
    </row>
    <row r="53" spans="1:18">
      <c r="A53">
        <v>20619</v>
      </c>
      <c r="B53" t="s">
        <v>25</v>
      </c>
      <c r="C53" t="str">
        <f t="shared" si="0"/>
        <v>Single</v>
      </c>
      <c r="D53" t="s">
        <v>13</v>
      </c>
      <c r="E53" t="str">
        <f t="shared" si="1"/>
        <v>Male</v>
      </c>
      <c r="F53" s="3">
        <v>80000</v>
      </c>
      <c r="G53" s="3" t="str">
        <f t="shared" si="2"/>
        <v>Middle Class</v>
      </c>
      <c r="H53">
        <v>0</v>
      </c>
      <c r="I53" t="s">
        <v>15</v>
      </c>
      <c r="J53" t="s">
        <v>23</v>
      </c>
      <c r="K53" t="s">
        <v>20</v>
      </c>
      <c r="L53" t="str">
        <f t="shared" si="3"/>
        <v>Tenant</v>
      </c>
      <c r="M53">
        <v>4</v>
      </c>
      <c r="N53" t="s">
        <v>33</v>
      </c>
      <c r="O53" t="s">
        <v>27</v>
      </c>
      <c r="P53">
        <v>35</v>
      </c>
      <c r="Q53" t="str">
        <f t="shared" si="4"/>
        <v>35 to 44 yrs</v>
      </c>
      <c r="R53" t="s">
        <v>20</v>
      </c>
    </row>
    <row r="54" spans="1:18">
      <c r="A54">
        <v>12558</v>
      </c>
      <c r="B54" t="s">
        <v>13</v>
      </c>
      <c r="C54" t="str">
        <f t="shared" si="0"/>
        <v>Married</v>
      </c>
      <c r="D54" t="s">
        <v>14</v>
      </c>
      <c r="E54" t="str">
        <f t="shared" si="1"/>
        <v>Female</v>
      </c>
      <c r="F54" s="3">
        <v>20000</v>
      </c>
      <c r="G54" s="3" t="str">
        <f t="shared" si="2"/>
        <v>Lower Class</v>
      </c>
      <c r="H54">
        <v>1</v>
      </c>
      <c r="I54" t="s">
        <v>15</v>
      </c>
      <c r="J54" t="s">
        <v>22</v>
      </c>
      <c r="K54" t="s">
        <v>17</v>
      </c>
      <c r="L54" t="str">
        <f t="shared" si="3"/>
        <v>Home Owner</v>
      </c>
      <c r="M54">
        <v>0</v>
      </c>
      <c r="N54" t="s">
        <v>18</v>
      </c>
      <c r="O54" t="s">
        <v>19</v>
      </c>
      <c r="P54">
        <v>65</v>
      </c>
      <c r="Q54" t="str">
        <f t="shared" si="4"/>
        <v>65 yrs &amp; Above</v>
      </c>
      <c r="R54" t="s">
        <v>20</v>
      </c>
    </row>
    <row r="55" spans="1:18">
      <c r="A55">
        <v>24871</v>
      </c>
      <c r="B55" t="s">
        <v>25</v>
      </c>
      <c r="C55" t="str">
        <f t="shared" si="0"/>
        <v>Single</v>
      </c>
      <c r="D55" t="s">
        <v>14</v>
      </c>
      <c r="E55" t="str">
        <f t="shared" si="1"/>
        <v>Female</v>
      </c>
      <c r="F55" s="3">
        <v>90000</v>
      </c>
      <c r="G55" s="3" t="str">
        <f t="shared" si="2"/>
        <v>Middle Class</v>
      </c>
      <c r="H55">
        <v>4</v>
      </c>
      <c r="I55" t="s">
        <v>30</v>
      </c>
      <c r="J55" t="s">
        <v>31</v>
      </c>
      <c r="K55" t="s">
        <v>20</v>
      </c>
      <c r="L55" t="str">
        <f t="shared" si="3"/>
        <v>Tenant</v>
      </c>
      <c r="M55">
        <v>3</v>
      </c>
      <c r="N55" t="s">
        <v>26</v>
      </c>
      <c r="O55" t="s">
        <v>19</v>
      </c>
      <c r="P55">
        <v>56</v>
      </c>
      <c r="Q55" t="str">
        <f t="shared" si="4"/>
        <v>55 to 64 yrs</v>
      </c>
      <c r="R55" t="s">
        <v>20</v>
      </c>
    </row>
    <row r="56" spans="1:18">
      <c r="A56">
        <v>17319</v>
      </c>
      <c r="B56" t="s">
        <v>25</v>
      </c>
      <c r="C56" t="str">
        <f t="shared" si="0"/>
        <v>Single</v>
      </c>
      <c r="D56" t="s">
        <v>14</v>
      </c>
      <c r="E56" t="str">
        <f t="shared" si="1"/>
        <v>Female</v>
      </c>
      <c r="F56" s="3">
        <v>70000</v>
      </c>
      <c r="G56" s="3" t="str">
        <f t="shared" si="2"/>
        <v>Middle Class</v>
      </c>
      <c r="H56">
        <v>0</v>
      </c>
      <c r="I56" t="s">
        <v>15</v>
      </c>
      <c r="J56" t="s">
        <v>23</v>
      </c>
      <c r="K56" t="s">
        <v>20</v>
      </c>
      <c r="L56" t="str">
        <f t="shared" si="3"/>
        <v>Tenant</v>
      </c>
      <c r="M56">
        <v>1</v>
      </c>
      <c r="N56" t="s">
        <v>26</v>
      </c>
      <c r="O56" t="s">
        <v>27</v>
      </c>
      <c r="P56">
        <v>42</v>
      </c>
      <c r="Q56" t="str">
        <f t="shared" si="4"/>
        <v>35 to 44 yrs</v>
      </c>
      <c r="R56" t="s">
        <v>20</v>
      </c>
    </row>
    <row r="57" spans="1:18">
      <c r="A57">
        <v>28906</v>
      </c>
      <c r="B57" t="s">
        <v>13</v>
      </c>
      <c r="C57" t="str">
        <f t="shared" si="0"/>
        <v>Married</v>
      </c>
      <c r="D57" t="s">
        <v>13</v>
      </c>
      <c r="E57" t="str">
        <f t="shared" si="1"/>
        <v>Male</v>
      </c>
      <c r="F57" s="3">
        <v>80000</v>
      </c>
      <c r="G57" s="3" t="str">
        <f t="shared" si="2"/>
        <v>Middle Class</v>
      </c>
      <c r="H57">
        <v>4</v>
      </c>
      <c r="I57" t="s">
        <v>30</v>
      </c>
      <c r="J57" t="s">
        <v>23</v>
      </c>
      <c r="K57" t="s">
        <v>17</v>
      </c>
      <c r="L57" t="str">
        <f t="shared" si="3"/>
        <v>Home Owner</v>
      </c>
      <c r="M57">
        <v>2</v>
      </c>
      <c r="N57" t="s">
        <v>33</v>
      </c>
      <c r="O57" t="s">
        <v>19</v>
      </c>
      <c r="P57">
        <v>54</v>
      </c>
      <c r="Q57" t="str">
        <f t="shared" si="4"/>
        <v>45 to 54 yrs</v>
      </c>
      <c r="R57" t="s">
        <v>20</v>
      </c>
    </row>
    <row r="58" spans="1:18">
      <c r="A58">
        <v>12808</v>
      </c>
      <c r="B58" t="s">
        <v>13</v>
      </c>
      <c r="C58" t="str">
        <f t="shared" si="0"/>
        <v>Married</v>
      </c>
      <c r="D58" t="s">
        <v>13</v>
      </c>
      <c r="E58" t="str">
        <f t="shared" si="1"/>
        <v>Male</v>
      </c>
      <c r="F58" s="3">
        <v>40000</v>
      </c>
      <c r="G58" s="3" t="str">
        <f t="shared" si="2"/>
        <v>Lower Class</v>
      </c>
      <c r="H58">
        <v>0</v>
      </c>
      <c r="I58" t="s">
        <v>15</v>
      </c>
      <c r="J58" t="s">
        <v>22</v>
      </c>
      <c r="K58" t="s">
        <v>17</v>
      </c>
      <c r="L58" t="str">
        <f t="shared" si="3"/>
        <v>Home Owner</v>
      </c>
      <c r="M58">
        <v>0</v>
      </c>
      <c r="N58" t="s">
        <v>18</v>
      </c>
      <c r="O58" t="s">
        <v>19</v>
      </c>
      <c r="P58">
        <v>38</v>
      </c>
      <c r="Q58" t="str">
        <f t="shared" si="4"/>
        <v>35 to 44 yrs</v>
      </c>
      <c r="R58" t="s">
        <v>17</v>
      </c>
    </row>
    <row r="59" spans="1:18">
      <c r="A59">
        <v>20567</v>
      </c>
      <c r="B59" t="s">
        <v>13</v>
      </c>
      <c r="C59" t="str">
        <f t="shared" si="0"/>
        <v>Married</v>
      </c>
      <c r="D59" t="s">
        <v>13</v>
      </c>
      <c r="E59" t="str">
        <f t="shared" si="1"/>
        <v>Male</v>
      </c>
      <c r="F59" s="3">
        <v>130000</v>
      </c>
      <c r="G59" s="3" t="str">
        <f t="shared" si="2"/>
        <v>Upper Middle Class</v>
      </c>
      <c r="H59">
        <v>4</v>
      </c>
      <c r="I59" t="s">
        <v>21</v>
      </c>
      <c r="J59" t="s">
        <v>23</v>
      </c>
      <c r="K59" t="s">
        <v>20</v>
      </c>
      <c r="L59" t="str">
        <f t="shared" si="3"/>
        <v>Tenant</v>
      </c>
      <c r="M59">
        <v>4</v>
      </c>
      <c r="N59" t="s">
        <v>26</v>
      </c>
      <c r="O59" t="s">
        <v>19</v>
      </c>
      <c r="P59">
        <v>61</v>
      </c>
      <c r="Q59" t="str">
        <f t="shared" si="4"/>
        <v>55 to 64 yrs</v>
      </c>
      <c r="R59" t="s">
        <v>17</v>
      </c>
    </row>
    <row r="60" spans="1:18">
      <c r="A60">
        <v>25502</v>
      </c>
      <c r="B60" t="s">
        <v>13</v>
      </c>
      <c r="C60" t="str">
        <f t="shared" si="0"/>
        <v>Married</v>
      </c>
      <c r="D60" t="s">
        <v>14</v>
      </c>
      <c r="E60" t="str">
        <f t="shared" si="1"/>
        <v>Female</v>
      </c>
      <c r="F60" s="3">
        <v>40000</v>
      </c>
      <c r="G60" s="3" t="str">
        <f t="shared" si="2"/>
        <v>Lower Class</v>
      </c>
      <c r="H60">
        <v>1</v>
      </c>
      <c r="I60" t="s">
        <v>15</v>
      </c>
      <c r="J60" t="s">
        <v>16</v>
      </c>
      <c r="K60" t="s">
        <v>17</v>
      </c>
      <c r="L60" t="str">
        <f t="shared" si="3"/>
        <v>Home Owner</v>
      </c>
      <c r="M60">
        <v>0</v>
      </c>
      <c r="N60" t="s">
        <v>18</v>
      </c>
      <c r="O60" t="s">
        <v>19</v>
      </c>
      <c r="P60">
        <v>43</v>
      </c>
      <c r="Q60" t="str">
        <f t="shared" si="4"/>
        <v>35 to 44 yrs</v>
      </c>
      <c r="R60" t="s">
        <v>17</v>
      </c>
    </row>
    <row r="61" spans="1:18">
      <c r="A61">
        <v>15580</v>
      </c>
      <c r="B61" t="s">
        <v>13</v>
      </c>
      <c r="C61" t="str">
        <f t="shared" si="0"/>
        <v>Married</v>
      </c>
      <c r="D61" t="s">
        <v>13</v>
      </c>
      <c r="E61" t="str">
        <f t="shared" si="1"/>
        <v>Male</v>
      </c>
      <c r="F61" s="3">
        <v>60000</v>
      </c>
      <c r="G61" s="3" t="str">
        <f t="shared" si="2"/>
        <v>Middle Class</v>
      </c>
      <c r="H61">
        <v>2</v>
      </c>
      <c r="I61" t="s">
        <v>15</v>
      </c>
      <c r="J61" t="s">
        <v>23</v>
      </c>
      <c r="K61" t="s">
        <v>17</v>
      </c>
      <c r="L61" t="str">
        <f t="shared" si="3"/>
        <v>Home Owner</v>
      </c>
      <c r="M61">
        <v>1</v>
      </c>
      <c r="N61" t="s">
        <v>24</v>
      </c>
      <c r="O61" t="s">
        <v>27</v>
      </c>
      <c r="P61">
        <v>38</v>
      </c>
      <c r="Q61" t="str">
        <f t="shared" si="4"/>
        <v>35 to 44 yrs</v>
      </c>
      <c r="R61" t="s">
        <v>17</v>
      </c>
    </row>
    <row r="62" spans="1:18">
      <c r="A62">
        <v>24185</v>
      </c>
      <c r="B62" t="s">
        <v>25</v>
      </c>
      <c r="C62" t="str">
        <f t="shared" si="0"/>
        <v>Single</v>
      </c>
      <c r="D62" t="s">
        <v>14</v>
      </c>
      <c r="E62" t="str">
        <f t="shared" si="1"/>
        <v>Female</v>
      </c>
      <c r="F62" s="3">
        <v>10000</v>
      </c>
      <c r="G62" s="3" t="str">
        <f t="shared" si="2"/>
        <v>Lower Class</v>
      </c>
      <c r="H62">
        <v>1</v>
      </c>
      <c r="I62" t="s">
        <v>30</v>
      </c>
      <c r="J62" t="s">
        <v>28</v>
      </c>
      <c r="K62" t="s">
        <v>20</v>
      </c>
      <c r="L62" t="str">
        <f t="shared" si="3"/>
        <v>Tenant</v>
      </c>
      <c r="M62">
        <v>1</v>
      </c>
      <c r="N62" t="s">
        <v>29</v>
      </c>
      <c r="O62" t="s">
        <v>19</v>
      </c>
      <c r="P62">
        <v>45</v>
      </c>
      <c r="Q62" t="str">
        <f t="shared" si="4"/>
        <v>45 to 54 yrs</v>
      </c>
      <c r="R62" t="s">
        <v>20</v>
      </c>
    </row>
    <row r="63" spans="1:18">
      <c r="A63">
        <v>19291</v>
      </c>
      <c r="B63" t="s">
        <v>25</v>
      </c>
      <c r="C63" t="str">
        <f t="shared" si="0"/>
        <v>Single</v>
      </c>
      <c r="D63" t="s">
        <v>14</v>
      </c>
      <c r="E63" t="str">
        <f t="shared" si="1"/>
        <v>Female</v>
      </c>
      <c r="F63" s="3">
        <v>10000</v>
      </c>
      <c r="G63" s="3" t="str">
        <f t="shared" si="2"/>
        <v>Lower Class</v>
      </c>
      <c r="H63">
        <v>2</v>
      </c>
      <c r="I63" t="s">
        <v>30</v>
      </c>
      <c r="J63" t="s">
        <v>28</v>
      </c>
      <c r="K63" t="s">
        <v>17</v>
      </c>
      <c r="L63" t="str">
        <f t="shared" si="3"/>
        <v>Home Owner</v>
      </c>
      <c r="M63">
        <v>0</v>
      </c>
      <c r="N63" t="s">
        <v>18</v>
      </c>
      <c r="O63" t="s">
        <v>19</v>
      </c>
      <c r="P63">
        <v>35</v>
      </c>
      <c r="Q63" t="str">
        <f t="shared" si="4"/>
        <v>35 to 44 yrs</v>
      </c>
      <c r="R63" t="s">
        <v>20</v>
      </c>
    </row>
    <row r="64" spans="1:18">
      <c r="A64">
        <v>16713</v>
      </c>
      <c r="B64" t="s">
        <v>13</v>
      </c>
      <c r="C64" t="str">
        <f t="shared" si="0"/>
        <v>Married</v>
      </c>
      <c r="D64" t="s">
        <v>13</v>
      </c>
      <c r="E64" t="str">
        <f t="shared" si="1"/>
        <v>Male</v>
      </c>
      <c r="F64" s="3">
        <v>40000</v>
      </c>
      <c r="G64" s="3" t="str">
        <f t="shared" si="2"/>
        <v>Lower Class</v>
      </c>
      <c r="H64">
        <v>2</v>
      </c>
      <c r="I64" t="s">
        <v>15</v>
      </c>
      <c r="J64" t="s">
        <v>31</v>
      </c>
      <c r="K64" t="s">
        <v>17</v>
      </c>
      <c r="L64" t="str">
        <f t="shared" si="3"/>
        <v>Home Owner</v>
      </c>
      <c r="M64">
        <v>1</v>
      </c>
      <c r="N64" t="s">
        <v>18</v>
      </c>
      <c r="O64" t="s">
        <v>27</v>
      </c>
      <c r="P64">
        <v>52</v>
      </c>
      <c r="Q64" t="str">
        <f t="shared" si="4"/>
        <v>45 to 54 yrs</v>
      </c>
      <c r="R64" t="s">
        <v>17</v>
      </c>
    </row>
    <row r="65" spans="1:18">
      <c r="A65">
        <v>16185</v>
      </c>
      <c r="B65" t="s">
        <v>25</v>
      </c>
      <c r="C65" t="str">
        <f t="shared" si="0"/>
        <v>Single</v>
      </c>
      <c r="D65" t="s">
        <v>13</v>
      </c>
      <c r="E65" t="str">
        <f t="shared" si="1"/>
        <v>Male</v>
      </c>
      <c r="F65" s="3">
        <v>60000</v>
      </c>
      <c r="G65" s="3" t="str">
        <f t="shared" si="2"/>
        <v>Middle Class</v>
      </c>
      <c r="H65">
        <v>4</v>
      </c>
      <c r="I65" t="s">
        <v>15</v>
      </c>
      <c r="J65" t="s">
        <v>23</v>
      </c>
      <c r="K65" t="s">
        <v>17</v>
      </c>
      <c r="L65" t="str">
        <f t="shared" si="3"/>
        <v>Home Owner</v>
      </c>
      <c r="M65">
        <v>3</v>
      </c>
      <c r="N65" t="s">
        <v>33</v>
      </c>
      <c r="O65" t="s">
        <v>27</v>
      </c>
      <c r="P65">
        <v>41</v>
      </c>
      <c r="Q65" t="str">
        <f t="shared" si="4"/>
        <v>35 to 44 yrs</v>
      </c>
      <c r="R65" t="s">
        <v>20</v>
      </c>
    </row>
    <row r="66" spans="1:18">
      <c r="A66">
        <v>14927</v>
      </c>
      <c r="B66" t="s">
        <v>13</v>
      </c>
      <c r="C66" t="str">
        <f t="shared" si="0"/>
        <v>Married</v>
      </c>
      <c r="D66" t="s">
        <v>14</v>
      </c>
      <c r="E66" t="str">
        <f t="shared" si="1"/>
        <v>Female</v>
      </c>
      <c r="F66" s="3">
        <v>30000</v>
      </c>
      <c r="G66" s="3" t="str">
        <f t="shared" si="2"/>
        <v>Lower Class</v>
      </c>
      <c r="H66">
        <v>1</v>
      </c>
      <c r="I66" t="s">
        <v>15</v>
      </c>
      <c r="J66" t="s">
        <v>22</v>
      </c>
      <c r="K66" t="s">
        <v>17</v>
      </c>
      <c r="L66" t="str">
        <f t="shared" si="3"/>
        <v>Home Owner</v>
      </c>
      <c r="M66">
        <v>0</v>
      </c>
      <c r="N66" t="s">
        <v>18</v>
      </c>
      <c r="O66" t="s">
        <v>19</v>
      </c>
      <c r="P66">
        <v>37</v>
      </c>
      <c r="Q66" t="str">
        <f t="shared" si="4"/>
        <v>35 to 44 yrs</v>
      </c>
      <c r="R66" t="s">
        <v>17</v>
      </c>
    </row>
    <row r="67" spans="1:18">
      <c r="A67">
        <v>29337</v>
      </c>
      <c r="B67" t="s">
        <v>25</v>
      </c>
      <c r="C67" t="str">
        <f t="shared" ref="C67:C130" si="5">IF($B$2:$B$1001="M", "Married","Single")</f>
        <v>Single</v>
      </c>
      <c r="D67" t="s">
        <v>13</v>
      </c>
      <c r="E67" t="str">
        <f t="shared" ref="E67:E130" si="6">IF($D$2:$D$1001="F", "Female", "Male")</f>
        <v>Male</v>
      </c>
      <c r="F67" s="3">
        <v>30000</v>
      </c>
      <c r="G67" s="3" t="str">
        <f t="shared" ref="G67:G130" si="7">_xlfn.IFS(F67&lt;=57375,"Lower Class",F67&lt;=114750,"Middle Class",F67&lt;=253414,"Upper Middle Class",TRUE,"Upper Class")</f>
        <v>Lower Class</v>
      </c>
      <c r="H67">
        <v>2</v>
      </c>
      <c r="I67" t="s">
        <v>21</v>
      </c>
      <c r="J67" t="s">
        <v>22</v>
      </c>
      <c r="K67" t="s">
        <v>17</v>
      </c>
      <c r="L67" t="str">
        <f t="shared" ref="L67:L130" si="8">IF($K$2:$K$1001="Yes", "Home Owner","Tenant")</f>
        <v>Home Owner</v>
      </c>
      <c r="M67">
        <v>2</v>
      </c>
      <c r="N67" t="s">
        <v>26</v>
      </c>
      <c r="O67" t="s">
        <v>27</v>
      </c>
      <c r="P67">
        <v>68</v>
      </c>
      <c r="Q67" t="str">
        <f t="shared" ref="Q67:Q130" si="9">_xlfn.IFS(P67&lt;25,"Less than 25 yrs",P67&lt;35,"25 to 34 yrs",P67&lt;45,"35 to 44 yrs",P67&lt;55,"45 to 54 yrs",P67&lt;65,"55 to 64 yrs", TRUE, "65 yrs &amp; Above")</f>
        <v>65 yrs &amp; Above</v>
      </c>
      <c r="R67" t="s">
        <v>20</v>
      </c>
    </row>
    <row r="68" spans="1:18">
      <c r="A68">
        <v>29355</v>
      </c>
      <c r="B68" t="s">
        <v>13</v>
      </c>
      <c r="C68" t="str">
        <f t="shared" si="5"/>
        <v>Married</v>
      </c>
      <c r="D68" t="s">
        <v>14</v>
      </c>
      <c r="E68" t="str">
        <f t="shared" si="6"/>
        <v>Female</v>
      </c>
      <c r="F68" s="3">
        <v>40000</v>
      </c>
      <c r="G68" s="3" t="str">
        <f t="shared" si="7"/>
        <v>Lower Class</v>
      </c>
      <c r="H68">
        <v>0</v>
      </c>
      <c r="I68" t="s">
        <v>34</v>
      </c>
      <c r="J68" t="s">
        <v>22</v>
      </c>
      <c r="K68" t="s">
        <v>17</v>
      </c>
      <c r="L68" t="str">
        <f t="shared" si="8"/>
        <v>Home Owner</v>
      </c>
      <c r="M68">
        <v>0</v>
      </c>
      <c r="N68" t="s">
        <v>18</v>
      </c>
      <c r="O68" t="s">
        <v>19</v>
      </c>
      <c r="P68">
        <v>37</v>
      </c>
      <c r="Q68" t="str">
        <f t="shared" si="9"/>
        <v>35 to 44 yrs</v>
      </c>
      <c r="R68" t="s">
        <v>17</v>
      </c>
    </row>
    <row r="69" spans="1:18">
      <c r="A69">
        <v>25303</v>
      </c>
      <c r="B69" t="s">
        <v>25</v>
      </c>
      <c r="C69" t="str">
        <f t="shared" si="5"/>
        <v>Single</v>
      </c>
      <c r="D69" t="s">
        <v>13</v>
      </c>
      <c r="E69" t="str">
        <f t="shared" si="6"/>
        <v>Male</v>
      </c>
      <c r="F69" s="3">
        <v>30000</v>
      </c>
      <c r="G69" s="3" t="str">
        <f t="shared" si="7"/>
        <v>Lower Class</v>
      </c>
      <c r="H69">
        <v>0</v>
      </c>
      <c r="I69" t="s">
        <v>30</v>
      </c>
      <c r="J69" t="s">
        <v>28</v>
      </c>
      <c r="K69" t="s">
        <v>17</v>
      </c>
      <c r="L69" t="str">
        <f t="shared" si="8"/>
        <v>Home Owner</v>
      </c>
      <c r="M69">
        <v>1</v>
      </c>
      <c r="N69" t="s">
        <v>24</v>
      </c>
      <c r="O69" t="s">
        <v>19</v>
      </c>
      <c r="P69">
        <v>33</v>
      </c>
      <c r="Q69" t="str">
        <f t="shared" si="9"/>
        <v>25 to 34 yrs</v>
      </c>
      <c r="R69" t="s">
        <v>17</v>
      </c>
    </row>
    <row r="70" spans="1:18">
      <c r="A70">
        <v>14813</v>
      </c>
      <c r="B70" t="s">
        <v>25</v>
      </c>
      <c r="C70" t="str">
        <f t="shared" si="5"/>
        <v>Single</v>
      </c>
      <c r="D70" t="s">
        <v>14</v>
      </c>
      <c r="E70" t="str">
        <f t="shared" si="6"/>
        <v>Female</v>
      </c>
      <c r="F70" s="3">
        <v>20000</v>
      </c>
      <c r="G70" s="3" t="str">
        <f t="shared" si="7"/>
        <v>Lower Class</v>
      </c>
      <c r="H70">
        <v>4</v>
      </c>
      <c r="I70" t="s">
        <v>30</v>
      </c>
      <c r="J70" t="s">
        <v>28</v>
      </c>
      <c r="K70" t="s">
        <v>17</v>
      </c>
      <c r="L70" t="str">
        <f t="shared" si="8"/>
        <v>Home Owner</v>
      </c>
      <c r="M70">
        <v>1</v>
      </c>
      <c r="N70" t="s">
        <v>18</v>
      </c>
      <c r="O70" t="s">
        <v>19</v>
      </c>
      <c r="P70">
        <v>43</v>
      </c>
      <c r="Q70" t="str">
        <f t="shared" si="9"/>
        <v>35 to 44 yrs</v>
      </c>
      <c r="R70" t="s">
        <v>17</v>
      </c>
    </row>
    <row r="71" spans="1:18">
      <c r="A71">
        <v>16438</v>
      </c>
      <c r="B71" t="s">
        <v>13</v>
      </c>
      <c r="C71" t="str">
        <f t="shared" si="5"/>
        <v>Married</v>
      </c>
      <c r="D71" t="s">
        <v>14</v>
      </c>
      <c r="E71" t="str">
        <f t="shared" si="6"/>
        <v>Female</v>
      </c>
      <c r="F71" s="3">
        <v>10000</v>
      </c>
      <c r="G71" s="3" t="str">
        <f t="shared" si="7"/>
        <v>Lower Class</v>
      </c>
      <c r="H71">
        <v>0</v>
      </c>
      <c r="I71" t="s">
        <v>32</v>
      </c>
      <c r="J71" t="s">
        <v>28</v>
      </c>
      <c r="K71" t="s">
        <v>20</v>
      </c>
      <c r="L71" t="str">
        <f t="shared" si="8"/>
        <v>Tenant</v>
      </c>
      <c r="M71">
        <v>2</v>
      </c>
      <c r="N71" t="s">
        <v>18</v>
      </c>
      <c r="O71" t="s">
        <v>19</v>
      </c>
      <c r="P71">
        <v>30</v>
      </c>
      <c r="Q71" t="str">
        <f t="shared" si="9"/>
        <v>25 to 34 yrs</v>
      </c>
      <c r="R71" t="s">
        <v>20</v>
      </c>
    </row>
    <row r="72" spans="1:18">
      <c r="A72">
        <v>14238</v>
      </c>
      <c r="B72" t="s">
        <v>13</v>
      </c>
      <c r="C72" t="str">
        <f t="shared" si="5"/>
        <v>Married</v>
      </c>
      <c r="D72" t="s">
        <v>13</v>
      </c>
      <c r="E72" t="str">
        <f t="shared" si="6"/>
        <v>Male</v>
      </c>
      <c r="F72" s="3">
        <v>120000</v>
      </c>
      <c r="G72" s="3" t="str">
        <f t="shared" si="7"/>
        <v>Upper Middle Class</v>
      </c>
      <c r="H72">
        <v>0</v>
      </c>
      <c r="I72" t="s">
        <v>32</v>
      </c>
      <c r="J72" t="s">
        <v>23</v>
      </c>
      <c r="K72" t="s">
        <v>17</v>
      </c>
      <c r="L72" t="str">
        <f t="shared" si="8"/>
        <v>Home Owner</v>
      </c>
      <c r="M72">
        <v>4</v>
      </c>
      <c r="N72" t="s">
        <v>33</v>
      </c>
      <c r="O72" t="s">
        <v>27</v>
      </c>
      <c r="P72">
        <v>36</v>
      </c>
      <c r="Q72" t="str">
        <f t="shared" si="9"/>
        <v>35 to 44 yrs</v>
      </c>
      <c r="R72" t="s">
        <v>17</v>
      </c>
    </row>
    <row r="73" spans="1:18">
      <c r="A73">
        <v>16200</v>
      </c>
      <c r="B73" t="s">
        <v>25</v>
      </c>
      <c r="C73" t="str">
        <f t="shared" si="5"/>
        <v>Single</v>
      </c>
      <c r="D73" t="s">
        <v>14</v>
      </c>
      <c r="E73" t="str">
        <f t="shared" si="6"/>
        <v>Female</v>
      </c>
      <c r="F73" s="3">
        <v>10000</v>
      </c>
      <c r="G73" s="3" t="str">
        <f t="shared" si="7"/>
        <v>Lower Class</v>
      </c>
      <c r="H73">
        <v>0</v>
      </c>
      <c r="I73" t="s">
        <v>32</v>
      </c>
      <c r="J73" t="s">
        <v>28</v>
      </c>
      <c r="K73" t="s">
        <v>20</v>
      </c>
      <c r="L73" t="str">
        <f t="shared" si="8"/>
        <v>Tenant</v>
      </c>
      <c r="M73">
        <v>2</v>
      </c>
      <c r="N73" t="s">
        <v>18</v>
      </c>
      <c r="O73" t="s">
        <v>19</v>
      </c>
      <c r="P73">
        <v>35</v>
      </c>
      <c r="Q73" t="str">
        <f t="shared" si="9"/>
        <v>35 to 44 yrs</v>
      </c>
      <c r="R73" t="s">
        <v>20</v>
      </c>
    </row>
    <row r="74" spans="1:18">
      <c r="A74">
        <v>24857</v>
      </c>
      <c r="B74" t="s">
        <v>13</v>
      </c>
      <c r="C74" t="str">
        <f t="shared" si="5"/>
        <v>Married</v>
      </c>
      <c r="D74" t="s">
        <v>14</v>
      </c>
      <c r="E74" t="str">
        <f t="shared" si="6"/>
        <v>Female</v>
      </c>
      <c r="F74" s="3">
        <v>130000</v>
      </c>
      <c r="G74" s="3" t="str">
        <f t="shared" si="7"/>
        <v>Upper Middle Class</v>
      </c>
      <c r="H74">
        <v>3</v>
      </c>
      <c r="I74" t="s">
        <v>30</v>
      </c>
      <c r="J74" t="s">
        <v>23</v>
      </c>
      <c r="K74" t="s">
        <v>17</v>
      </c>
      <c r="L74" t="str">
        <f t="shared" si="8"/>
        <v>Home Owner</v>
      </c>
      <c r="M74">
        <v>4</v>
      </c>
      <c r="N74" t="s">
        <v>18</v>
      </c>
      <c r="O74" t="s">
        <v>19</v>
      </c>
      <c r="P74">
        <v>52</v>
      </c>
      <c r="Q74" t="str">
        <f t="shared" si="9"/>
        <v>45 to 54 yrs</v>
      </c>
      <c r="R74" t="s">
        <v>20</v>
      </c>
    </row>
    <row r="75" spans="1:18">
      <c r="A75">
        <v>26956</v>
      </c>
      <c r="B75" t="s">
        <v>25</v>
      </c>
      <c r="C75" t="str">
        <f t="shared" si="5"/>
        <v>Single</v>
      </c>
      <c r="D75" t="s">
        <v>14</v>
      </c>
      <c r="E75" t="str">
        <f t="shared" si="6"/>
        <v>Female</v>
      </c>
      <c r="F75" s="3">
        <v>20000</v>
      </c>
      <c r="G75" s="3" t="str">
        <f t="shared" si="7"/>
        <v>Lower Class</v>
      </c>
      <c r="H75">
        <v>0</v>
      </c>
      <c r="I75" t="s">
        <v>21</v>
      </c>
      <c r="J75" t="s">
        <v>28</v>
      </c>
      <c r="K75" t="s">
        <v>20</v>
      </c>
      <c r="L75" t="str">
        <f t="shared" si="8"/>
        <v>Tenant</v>
      </c>
      <c r="M75">
        <v>1</v>
      </c>
      <c r="N75" t="s">
        <v>24</v>
      </c>
      <c r="O75" t="s">
        <v>19</v>
      </c>
      <c r="P75">
        <v>36</v>
      </c>
      <c r="Q75" t="str">
        <f t="shared" si="9"/>
        <v>35 to 44 yrs</v>
      </c>
      <c r="R75" t="s">
        <v>17</v>
      </c>
    </row>
    <row r="76" spans="1:18">
      <c r="A76">
        <v>14517</v>
      </c>
      <c r="B76" t="s">
        <v>13</v>
      </c>
      <c r="C76" t="str">
        <f t="shared" si="5"/>
        <v>Married</v>
      </c>
      <c r="D76" t="s">
        <v>14</v>
      </c>
      <c r="E76" t="str">
        <f t="shared" si="6"/>
        <v>Female</v>
      </c>
      <c r="F76" s="3">
        <v>20000</v>
      </c>
      <c r="G76" s="3" t="str">
        <f t="shared" si="7"/>
        <v>Lower Class</v>
      </c>
      <c r="H76">
        <v>3</v>
      </c>
      <c r="I76" t="s">
        <v>30</v>
      </c>
      <c r="J76" t="s">
        <v>16</v>
      </c>
      <c r="K76" t="s">
        <v>20</v>
      </c>
      <c r="L76" t="str">
        <f t="shared" si="8"/>
        <v>Tenant</v>
      </c>
      <c r="M76">
        <v>2</v>
      </c>
      <c r="N76" t="s">
        <v>29</v>
      </c>
      <c r="O76" t="s">
        <v>27</v>
      </c>
      <c r="P76">
        <v>62</v>
      </c>
      <c r="Q76" t="str">
        <f t="shared" si="9"/>
        <v>55 to 64 yrs</v>
      </c>
      <c r="R76" t="s">
        <v>20</v>
      </c>
    </row>
    <row r="77" spans="1:18">
      <c r="A77">
        <v>12678</v>
      </c>
      <c r="B77" t="s">
        <v>25</v>
      </c>
      <c r="C77" t="str">
        <f t="shared" si="5"/>
        <v>Single</v>
      </c>
      <c r="D77" t="s">
        <v>14</v>
      </c>
      <c r="E77" t="str">
        <f t="shared" si="6"/>
        <v>Female</v>
      </c>
      <c r="F77" s="3">
        <v>130000</v>
      </c>
      <c r="G77" s="3" t="str">
        <f t="shared" si="7"/>
        <v>Upper Middle Class</v>
      </c>
      <c r="H77">
        <v>4</v>
      </c>
      <c r="I77" t="s">
        <v>30</v>
      </c>
      <c r="J77" t="s">
        <v>31</v>
      </c>
      <c r="K77" t="s">
        <v>17</v>
      </c>
      <c r="L77" t="str">
        <f t="shared" si="8"/>
        <v>Home Owner</v>
      </c>
      <c r="M77">
        <v>4</v>
      </c>
      <c r="N77" t="s">
        <v>18</v>
      </c>
      <c r="O77" t="s">
        <v>27</v>
      </c>
      <c r="P77">
        <v>31</v>
      </c>
      <c r="Q77" t="str">
        <f t="shared" si="9"/>
        <v>25 to 34 yrs</v>
      </c>
      <c r="R77" t="s">
        <v>20</v>
      </c>
    </row>
    <row r="78" spans="1:18">
      <c r="A78">
        <v>16188</v>
      </c>
      <c r="B78" t="s">
        <v>25</v>
      </c>
      <c r="C78" t="str">
        <f t="shared" si="5"/>
        <v>Single</v>
      </c>
      <c r="D78" t="s">
        <v>14</v>
      </c>
      <c r="E78" t="str">
        <f t="shared" si="6"/>
        <v>Female</v>
      </c>
      <c r="F78" s="3">
        <v>20000</v>
      </c>
      <c r="G78" s="3" t="str">
        <f t="shared" si="7"/>
        <v>Lower Class</v>
      </c>
      <c r="H78">
        <v>0</v>
      </c>
      <c r="I78" t="s">
        <v>32</v>
      </c>
      <c r="J78" t="s">
        <v>28</v>
      </c>
      <c r="K78" t="s">
        <v>20</v>
      </c>
      <c r="L78" t="str">
        <f t="shared" si="8"/>
        <v>Tenant</v>
      </c>
      <c r="M78">
        <v>2</v>
      </c>
      <c r="N78" t="s">
        <v>29</v>
      </c>
      <c r="O78" t="s">
        <v>19</v>
      </c>
      <c r="P78">
        <v>26</v>
      </c>
      <c r="Q78" t="str">
        <f t="shared" si="9"/>
        <v>25 to 34 yrs</v>
      </c>
      <c r="R78" t="s">
        <v>20</v>
      </c>
    </row>
    <row r="79" spans="1:18">
      <c r="A79">
        <v>27969</v>
      </c>
      <c r="B79" t="s">
        <v>13</v>
      </c>
      <c r="C79" t="str">
        <f t="shared" si="5"/>
        <v>Married</v>
      </c>
      <c r="D79" t="s">
        <v>13</v>
      </c>
      <c r="E79" t="str">
        <f t="shared" si="6"/>
        <v>Male</v>
      </c>
      <c r="F79" s="3">
        <v>80000</v>
      </c>
      <c r="G79" s="3" t="str">
        <f t="shared" si="7"/>
        <v>Middle Class</v>
      </c>
      <c r="H79">
        <v>0</v>
      </c>
      <c r="I79" t="s">
        <v>15</v>
      </c>
      <c r="J79" t="s">
        <v>23</v>
      </c>
      <c r="K79" t="s">
        <v>17</v>
      </c>
      <c r="L79" t="str">
        <f t="shared" si="8"/>
        <v>Home Owner</v>
      </c>
      <c r="M79">
        <v>2</v>
      </c>
      <c r="N79" t="s">
        <v>33</v>
      </c>
      <c r="O79" t="s">
        <v>27</v>
      </c>
      <c r="P79">
        <v>29</v>
      </c>
      <c r="Q79" t="str">
        <f t="shared" si="9"/>
        <v>25 to 34 yrs</v>
      </c>
      <c r="R79" t="s">
        <v>17</v>
      </c>
    </row>
    <row r="80" spans="1:18">
      <c r="A80">
        <v>15752</v>
      </c>
      <c r="B80" t="s">
        <v>13</v>
      </c>
      <c r="C80" t="str">
        <f t="shared" si="5"/>
        <v>Married</v>
      </c>
      <c r="D80" t="s">
        <v>13</v>
      </c>
      <c r="E80" t="str">
        <f t="shared" si="6"/>
        <v>Male</v>
      </c>
      <c r="F80" s="3">
        <v>80000</v>
      </c>
      <c r="G80" s="3" t="str">
        <f t="shared" si="7"/>
        <v>Middle Class</v>
      </c>
      <c r="H80">
        <v>2</v>
      </c>
      <c r="I80" t="s">
        <v>30</v>
      </c>
      <c r="J80" t="s">
        <v>16</v>
      </c>
      <c r="K80" t="s">
        <v>20</v>
      </c>
      <c r="L80" t="str">
        <f t="shared" si="8"/>
        <v>Tenant</v>
      </c>
      <c r="M80">
        <v>2</v>
      </c>
      <c r="N80" t="s">
        <v>29</v>
      </c>
      <c r="O80" t="s">
        <v>27</v>
      </c>
      <c r="P80">
        <v>50</v>
      </c>
      <c r="Q80" t="str">
        <f t="shared" si="9"/>
        <v>45 to 54 yrs</v>
      </c>
      <c r="R80" t="s">
        <v>17</v>
      </c>
    </row>
    <row r="81" spans="1:18">
      <c r="A81">
        <v>27745</v>
      </c>
      <c r="B81" t="s">
        <v>25</v>
      </c>
      <c r="C81" t="str">
        <f t="shared" si="5"/>
        <v>Single</v>
      </c>
      <c r="D81" t="s">
        <v>13</v>
      </c>
      <c r="E81" t="str">
        <f t="shared" si="6"/>
        <v>Male</v>
      </c>
      <c r="F81" s="3">
        <v>40000</v>
      </c>
      <c r="G81" s="3" t="str">
        <f t="shared" si="7"/>
        <v>Lower Class</v>
      </c>
      <c r="H81">
        <v>2</v>
      </c>
      <c r="I81" t="s">
        <v>15</v>
      </c>
      <c r="J81" t="s">
        <v>31</v>
      </c>
      <c r="K81" t="s">
        <v>17</v>
      </c>
      <c r="L81" t="str">
        <f t="shared" si="8"/>
        <v>Home Owner</v>
      </c>
      <c r="M81">
        <v>2</v>
      </c>
      <c r="N81" t="s">
        <v>26</v>
      </c>
      <c r="O81" t="s">
        <v>27</v>
      </c>
      <c r="P81">
        <v>63</v>
      </c>
      <c r="Q81" t="str">
        <f t="shared" si="9"/>
        <v>55 to 64 yrs</v>
      </c>
      <c r="R81" t="s">
        <v>17</v>
      </c>
    </row>
    <row r="82" spans="1:18">
      <c r="A82">
        <v>20828</v>
      </c>
      <c r="B82" t="s">
        <v>13</v>
      </c>
      <c r="C82" t="str">
        <f t="shared" si="5"/>
        <v>Married</v>
      </c>
      <c r="D82" t="s">
        <v>14</v>
      </c>
      <c r="E82" t="str">
        <f t="shared" si="6"/>
        <v>Female</v>
      </c>
      <c r="F82" s="3">
        <v>30000</v>
      </c>
      <c r="G82" s="3" t="str">
        <f t="shared" si="7"/>
        <v>Lower Class</v>
      </c>
      <c r="H82">
        <v>4</v>
      </c>
      <c r="I82" t="s">
        <v>34</v>
      </c>
      <c r="J82" t="s">
        <v>22</v>
      </c>
      <c r="K82" t="s">
        <v>17</v>
      </c>
      <c r="L82" t="str">
        <f t="shared" si="8"/>
        <v>Home Owner</v>
      </c>
      <c r="M82">
        <v>0</v>
      </c>
      <c r="N82" t="s">
        <v>18</v>
      </c>
      <c r="O82" t="s">
        <v>19</v>
      </c>
      <c r="P82">
        <v>45</v>
      </c>
      <c r="Q82" t="str">
        <f t="shared" si="9"/>
        <v>45 to 54 yrs</v>
      </c>
      <c r="R82" t="s">
        <v>17</v>
      </c>
    </row>
    <row r="83" spans="1:18">
      <c r="A83">
        <v>19461</v>
      </c>
      <c r="B83" t="s">
        <v>25</v>
      </c>
      <c r="C83" t="str">
        <f t="shared" si="5"/>
        <v>Single</v>
      </c>
      <c r="D83" t="s">
        <v>14</v>
      </c>
      <c r="E83" t="str">
        <f t="shared" si="6"/>
        <v>Female</v>
      </c>
      <c r="F83" s="3">
        <v>10000</v>
      </c>
      <c r="G83" s="3" t="str">
        <f t="shared" si="7"/>
        <v>Lower Class</v>
      </c>
      <c r="H83">
        <v>4</v>
      </c>
      <c r="I83" t="s">
        <v>32</v>
      </c>
      <c r="J83" t="s">
        <v>28</v>
      </c>
      <c r="K83" t="s">
        <v>17</v>
      </c>
      <c r="L83" t="str">
        <f t="shared" si="8"/>
        <v>Home Owner</v>
      </c>
      <c r="M83">
        <v>2</v>
      </c>
      <c r="N83" t="s">
        <v>18</v>
      </c>
      <c r="O83" t="s">
        <v>19</v>
      </c>
      <c r="P83">
        <v>40</v>
      </c>
      <c r="Q83" t="str">
        <f t="shared" si="9"/>
        <v>35 to 44 yrs</v>
      </c>
      <c r="R83" t="s">
        <v>20</v>
      </c>
    </row>
    <row r="84" spans="1:18">
      <c r="A84">
        <v>26941</v>
      </c>
      <c r="B84" t="s">
        <v>13</v>
      </c>
      <c r="C84" t="str">
        <f t="shared" si="5"/>
        <v>Married</v>
      </c>
      <c r="D84" t="s">
        <v>13</v>
      </c>
      <c r="E84" t="str">
        <f t="shared" si="6"/>
        <v>Male</v>
      </c>
      <c r="F84" s="3">
        <v>30000</v>
      </c>
      <c r="G84" s="3" t="str">
        <f t="shared" si="7"/>
        <v>Lower Class</v>
      </c>
      <c r="H84">
        <v>0</v>
      </c>
      <c r="I84" t="s">
        <v>15</v>
      </c>
      <c r="J84" t="s">
        <v>22</v>
      </c>
      <c r="K84" t="s">
        <v>17</v>
      </c>
      <c r="L84" t="str">
        <f t="shared" si="8"/>
        <v>Home Owner</v>
      </c>
      <c r="M84">
        <v>0</v>
      </c>
      <c r="N84" t="s">
        <v>18</v>
      </c>
      <c r="O84" t="s">
        <v>19</v>
      </c>
      <c r="P84">
        <v>47</v>
      </c>
      <c r="Q84" t="str">
        <f t="shared" si="9"/>
        <v>45 to 54 yrs</v>
      </c>
      <c r="R84" t="s">
        <v>17</v>
      </c>
    </row>
    <row r="85" spans="1:18">
      <c r="A85">
        <v>28412</v>
      </c>
      <c r="B85" t="s">
        <v>25</v>
      </c>
      <c r="C85" t="str">
        <f t="shared" si="5"/>
        <v>Single</v>
      </c>
      <c r="D85" t="s">
        <v>13</v>
      </c>
      <c r="E85" t="str">
        <f t="shared" si="6"/>
        <v>Male</v>
      </c>
      <c r="F85" s="3">
        <v>20000</v>
      </c>
      <c r="G85" s="3" t="str">
        <f t="shared" si="7"/>
        <v>Lower Class</v>
      </c>
      <c r="H85">
        <v>0</v>
      </c>
      <c r="I85" t="s">
        <v>30</v>
      </c>
      <c r="J85" t="s">
        <v>28</v>
      </c>
      <c r="K85" t="s">
        <v>20</v>
      </c>
      <c r="L85" t="str">
        <f t="shared" si="8"/>
        <v>Tenant</v>
      </c>
      <c r="M85">
        <v>1</v>
      </c>
      <c r="N85" t="s">
        <v>24</v>
      </c>
      <c r="O85" t="s">
        <v>19</v>
      </c>
      <c r="P85">
        <v>29</v>
      </c>
      <c r="Q85" t="str">
        <f t="shared" si="9"/>
        <v>25 to 34 yrs</v>
      </c>
      <c r="R85" t="s">
        <v>20</v>
      </c>
    </row>
    <row r="86" spans="1:18">
      <c r="A86">
        <v>24485</v>
      </c>
      <c r="B86" t="s">
        <v>25</v>
      </c>
      <c r="C86" t="str">
        <f t="shared" si="5"/>
        <v>Single</v>
      </c>
      <c r="D86" t="s">
        <v>13</v>
      </c>
      <c r="E86" t="str">
        <f t="shared" si="6"/>
        <v>Male</v>
      </c>
      <c r="F86" s="3">
        <v>40000</v>
      </c>
      <c r="G86" s="3" t="str">
        <f t="shared" si="7"/>
        <v>Lower Class</v>
      </c>
      <c r="H86">
        <v>2</v>
      </c>
      <c r="I86" t="s">
        <v>15</v>
      </c>
      <c r="J86" t="s">
        <v>31</v>
      </c>
      <c r="K86" t="s">
        <v>20</v>
      </c>
      <c r="L86" t="str">
        <f t="shared" si="8"/>
        <v>Tenant</v>
      </c>
      <c r="M86">
        <v>1</v>
      </c>
      <c r="N86" t="s">
        <v>26</v>
      </c>
      <c r="O86" t="s">
        <v>27</v>
      </c>
      <c r="P86">
        <v>52</v>
      </c>
      <c r="Q86" t="str">
        <f t="shared" si="9"/>
        <v>45 to 54 yrs</v>
      </c>
      <c r="R86" t="s">
        <v>17</v>
      </c>
    </row>
    <row r="87" spans="1:18">
      <c r="A87">
        <v>16514</v>
      </c>
      <c r="B87" t="s">
        <v>25</v>
      </c>
      <c r="C87" t="str">
        <f t="shared" si="5"/>
        <v>Single</v>
      </c>
      <c r="D87" t="s">
        <v>13</v>
      </c>
      <c r="E87" t="str">
        <f t="shared" si="6"/>
        <v>Male</v>
      </c>
      <c r="F87" s="3">
        <v>10000</v>
      </c>
      <c r="G87" s="3" t="str">
        <f t="shared" si="7"/>
        <v>Lower Class</v>
      </c>
      <c r="H87">
        <v>0</v>
      </c>
      <c r="I87" t="s">
        <v>21</v>
      </c>
      <c r="J87" t="s">
        <v>28</v>
      </c>
      <c r="K87" t="s">
        <v>17</v>
      </c>
      <c r="L87" t="str">
        <f t="shared" si="8"/>
        <v>Home Owner</v>
      </c>
      <c r="M87">
        <v>1</v>
      </c>
      <c r="N87" t="s">
        <v>29</v>
      </c>
      <c r="O87" t="s">
        <v>27</v>
      </c>
      <c r="P87">
        <v>26</v>
      </c>
      <c r="Q87" t="str">
        <f t="shared" si="9"/>
        <v>25 to 34 yrs</v>
      </c>
      <c r="R87" t="s">
        <v>17</v>
      </c>
    </row>
    <row r="88" spans="1:18">
      <c r="A88">
        <v>17191</v>
      </c>
      <c r="B88" t="s">
        <v>25</v>
      </c>
      <c r="C88" t="str">
        <f t="shared" si="5"/>
        <v>Single</v>
      </c>
      <c r="D88" t="s">
        <v>13</v>
      </c>
      <c r="E88" t="str">
        <f t="shared" si="6"/>
        <v>Male</v>
      </c>
      <c r="F88" s="3">
        <v>130000</v>
      </c>
      <c r="G88" s="3" t="str">
        <f t="shared" si="7"/>
        <v>Upper Middle Class</v>
      </c>
      <c r="H88">
        <v>3</v>
      </c>
      <c r="I88" t="s">
        <v>21</v>
      </c>
      <c r="J88" t="s">
        <v>23</v>
      </c>
      <c r="K88" t="s">
        <v>20</v>
      </c>
      <c r="L88" t="str">
        <f t="shared" si="8"/>
        <v>Tenant</v>
      </c>
      <c r="M88">
        <v>3</v>
      </c>
      <c r="N88" t="s">
        <v>18</v>
      </c>
      <c r="O88" t="s">
        <v>19</v>
      </c>
      <c r="P88">
        <v>51</v>
      </c>
      <c r="Q88" t="str">
        <f t="shared" si="9"/>
        <v>45 to 54 yrs</v>
      </c>
      <c r="R88" t="s">
        <v>17</v>
      </c>
    </row>
    <row r="89" spans="1:18">
      <c r="A89">
        <v>19608</v>
      </c>
      <c r="B89" t="s">
        <v>13</v>
      </c>
      <c r="C89" t="str">
        <f t="shared" si="5"/>
        <v>Married</v>
      </c>
      <c r="D89" t="s">
        <v>13</v>
      </c>
      <c r="E89" t="str">
        <f t="shared" si="6"/>
        <v>Male</v>
      </c>
      <c r="F89" s="3">
        <v>80000</v>
      </c>
      <c r="G89" s="3" t="str">
        <f t="shared" si="7"/>
        <v>Middle Class</v>
      </c>
      <c r="H89">
        <v>5</v>
      </c>
      <c r="I89" t="s">
        <v>15</v>
      </c>
      <c r="J89" t="s">
        <v>23</v>
      </c>
      <c r="K89" t="s">
        <v>17</v>
      </c>
      <c r="L89" t="str">
        <f t="shared" si="8"/>
        <v>Home Owner</v>
      </c>
      <c r="M89">
        <v>4</v>
      </c>
      <c r="N89" t="s">
        <v>29</v>
      </c>
      <c r="O89" t="s">
        <v>27</v>
      </c>
      <c r="P89">
        <v>40</v>
      </c>
      <c r="Q89" t="str">
        <f t="shared" si="9"/>
        <v>35 to 44 yrs</v>
      </c>
      <c r="R89" t="s">
        <v>20</v>
      </c>
    </row>
    <row r="90" spans="1:18">
      <c r="A90">
        <v>24119</v>
      </c>
      <c r="B90" t="s">
        <v>25</v>
      </c>
      <c r="C90" t="str">
        <f t="shared" si="5"/>
        <v>Single</v>
      </c>
      <c r="D90" t="s">
        <v>13</v>
      </c>
      <c r="E90" t="str">
        <f t="shared" si="6"/>
        <v>Male</v>
      </c>
      <c r="F90" s="3">
        <v>30000</v>
      </c>
      <c r="G90" s="3" t="str">
        <f t="shared" si="7"/>
        <v>Lower Class</v>
      </c>
      <c r="H90">
        <v>0</v>
      </c>
      <c r="I90" t="s">
        <v>21</v>
      </c>
      <c r="J90" t="s">
        <v>22</v>
      </c>
      <c r="K90" t="s">
        <v>20</v>
      </c>
      <c r="L90" t="str">
        <f t="shared" si="8"/>
        <v>Tenant</v>
      </c>
      <c r="M90">
        <v>1</v>
      </c>
      <c r="N90" t="s">
        <v>24</v>
      </c>
      <c r="O90" t="s">
        <v>19</v>
      </c>
      <c r="P90">
        <v>29</v>
      </c>
      <c r="Q90" t="str">
        <f t="shared" si="9"/>
        <v>25 to 34 yrs</v>
      </c>
      <c r="R90" t="s">
        <v>20</v>
      </c>
    </row>
    <row r="91" spans="1:18">
      <c r="A91">
        <v>25458</v>
      </c>
      <c r="B91" t="s">
        <v>13</v>
      </c>
      <c r="C91" t="str">
        <f t="shared" si="5"/>
        <v>Married</v>
      </c>
      <c r="D91" t="s">
        <v>13</v>
      </c>
      <c r="E91" t="str">
        <f t="shared" si="6"/>
        <v>Male</v>
      </c>
      <c r="F91" s="3">
        <v>20000</v>
      </c>
      <c r="G91" s="3" t="str">
        <f t="shared" si="7"/>
        <v>Lower Class</v>
      </c>
      <c r="H91">
        <v>1</v>
      </c>
      <c r="I91" t="s">
        <v>30</v>
      </c>
      <c r="J91" t="s">
        <v>28</v>
      </c>
      <c r="K91" t="s">
        <v>20</v>
      </c>
      <c r="L91" t="str">
        <f t="shared" si="8"/>
        <v>Tenant</v>
      </c>
      <c r="M91">
        <v>1</v>
      </c>
      <c r="N91" t="s">
        <v>29</v>
      </c>
      <c r="O91" t="s">
        <v>19</v>
      </c>
      <c r="P91">
        <v>40</v>
      </c>
      <c r="Q91" t="str">
        <f t="shared" si="9"/>
        <v>35 to 44 yrs</v>
      </c>
      <c r="R91" t="s">
        <v>17</v>
      </c>
    </row>
    <row r="92" spans="1:18">
      <c r="A92">
        <v>26886</v>
      </c>
      <c r="B92" t="s">
        <v>25</v>
      </c>
      <c r="C92" t="str">
        <f t="shared" si="5"/>
        <v>Single</v>
      </c>
      <c r="D92" t="s">
        <v>14</v>
      </c>
      <c r="E92" t="str">
        <f t="shared" si="6"/>
        <v>Female</v>
      </c>
      <c r="F92" s="3">
        <v>30000</v>
      </c>
      <c r="G92" s="3" t="str">
        <f t="shared" si="7"/>
        <v>Lower Class</v>
      </c>
      <c r="H92">
        <v>0</v>
      </c>
      <c r="I92" t="s">
        <v>21</v>
      </c>
      <c r="J92" t="s">
        <v>22</v>
      </c>
      <c r="K92" t="s">
        <v>20</v>
      </c>
      <c r="L92" t="str">
        <f t="shared" si="8"/>
        <v>Tenant</v>
      </c>
      <c r="M92">
        <v>1</v>
      </c>
      <c r="N92" t="s">
        <v>18</v>
      </c>
      <c r="O92" t="s">
        <v>19</v>
      </c>
      <c r="P92">
        <v>29</v>
      </c>
      <c r="Q92" t="str">
        <f t="shared" si="9"/>
        <v>25 to 34 yrs</v>
      </c>
      <c r="R92" t="s">
        <v>17</v>
      </c>
    </row>
    <row r="93" spans="1:18">
      <c r="A93">
        <v>28436</v>
      </c>
      <c r="B93" t="s">
        <v>25</v>
      </c>
      <c r="C93" t="str">
        <f t="shared" si="5"/>
        <v>Single</v>
      </c>
      <c r="D93" t="s">
        <v>13</v>
      </c>
      <c r="E93" t="str">
        <f t="shared" si="6"/>
        <v>Male</v>
      </c>
      <c r="F93" s="3">
        <v>30000</v>
      </c>
      <c r="G93" s="3" t="str">
        <f t="shared" si="7"/>
        <v>Lower Class</v>
      </c>
      <c r="H93">
        <v>0</v>
      </c>
      <c r="I93" t="s">
        <v>21</v>
      </c>
      <c r="J93" t="s">
        <v>22</v>
      </c>
      <c r="K93" t="s">
        <v>20</v>
      </c>
      <c r="L93" t="str">
        <f t="shared" si="8"/>
        <v>Tenant</v>
      </c>
      <c r="M93">
        <v>1</v>
      </c>
      <c r="N93" t="s">
        <v>18</v>
      </c>
      <c r="O93" t="s">
        <v>19</v>
      </c>
      <c r="P93">
        <v>30</v>
      </c>
      <c r="Q93" t="str">
        <f t="shared" si="9"/>
        <v>25 to 34 yrs</v>
      </c>
      <c r="R93" t="s">
        <v>17</v>
      </c>
    </row>
    <row r="94" spans="1:18">
      <c r="A94">
        <v>19562</v>
      </c>
      <c r="B94" t="s">
        <v>25</v>
      </c>
      <c r="C94" t="str">
        <f t="shared" si="5"/>
        <v>Single</v>
      </c>
      <c r="D94" t="s">
        <v>14</v>
      </c>
      <c r="E94" t="str">
        <f t="shared" si="6"/>
        <v>Female</v>
      </c>
      <c r="F94" s="3">
        <v>60000</v>
      </c>
      <c r="G94" s="3" t="str">
        <f t="shared" si="7"/>
        <v>Middle Class</v>
      </c>
      <c r="H94">
        <v>2</v>
      </c>
      <c r="I94" t="s">
        <v>15</v>
      </c>
      <c r="J94" t="s">
        <v>23</v>
      </c>
      <c r="K94" t="s">
        <v>17</v>
      </c>
      <c r="L94" t="str">
        <f t="shared" si="8"/>
        <v>Home Owner</v>
      </c>
      <c r="M94">
        <v>1</v>
      </c>
      <c r="N94" t="s">
        <v>24</v>
      </c>
      <c r="O94" t="s">
        <v>27</v>
      </c>
      <c r="P94">
        <v>37</v>
      </c>
      <c r="Q94" t="str">
        <f t="shared" si="9"/>
        <v>35 to 44 yrs</v>
      </c>
      <c r="R94" t="s">
        <v>17</v>
      </c>
    </row>
    <row r="95" spans="1:18">
      <c r="A95">
        <v>15608</v>
      </c>
      <c r="B95" t="s">
        <v>25</v>
      </c>
      <c r="C95" t="str">
        <f t="shared" si="5"/>
        <v>Single</v>
      </c>
      <c r="D95" t="s">
        <v>14</v>
      </c>
      <c r="E95" t="str">
        <f t="shared" si="6"/>
        <v>Female</v>
      </c>
      <c r="F95" s="3">
        <v>30000</v>
      </c>
      <c r="G95" s="3" t="str">
        <f t="shared" si="7"/>
        <v>Lower Class</v>
      </c>
      <c r="H95">
        <v>0</v>
      </c>
      <c r="I95" t="s">
        <v>21</v>
      </c>
      <c r="J95" t="s">
        <v>22</v>
      </c>
      <c r="K95" t="s">
        <v>20</v>
      </c>
      <c r="L95" t="str">
        <f t="shared" si="8"/>
        <v>Tenant</v>
      </c>
      <c r="M95">
        <v>1</v>
      </c>
      <c r="N95" t="s">
        <v>24</v>
      </c>
      <c r="O95" t="s">
        <v>19</v>
      </c>
      <c r="P95">
        <v>33</v>
      </c>
      <c r="Q95" t="str">
        <f t="shared" si="9"/>
        <v>25 to 34 yrs</v>
      </c>
      <c r="R95" t="s">
        <v>20</v>
      </c>
    </row>
    <row r="96" spans="1:18">
      <c r="A96">
        <v>16487</v>
      </c>
      <c r="B96" t="s">
        <v>25</v>
      </c>
      <c r="C96" t="str">
        <f t="shared" si="5"/>
        <v>Single</v>
      </c>
      <c r="D96" t="s">
        <v>14</v>
      </c>
      <c r="E96" t="str">
        <f t="shared" si="6"/>
        <v>Female</v>
      </c>
      <c r="F96" s="3">
        <v>30000</v>
      </c>
      <c r="G96" s="3" t="str">
        <f t="shared" si="7"/>
        <v>Lower Class</v>
      </c>
      <c r="H96">
        <v>3</v>
      </c>
      <c r="I96" t="s">
        <v>30</v>
      </c>
      <c r="J96" t="s">
        <v>16</v>
      </c>
      <c r="K96" t="s">
        <v>17</v>
      </c>
      <c r="L96" t="str">
        <f t="shared" si="8"/>
        <v>Home Owner</v>
      </c>
      <c r="M96">
        <v>2</v>
      </c>
      <c r="N96" t="s">
        <v>26</v>
      </c>
      <c r="O96" t="s">
        <v>27</v>
      </c>
      <c r="P96">
        <v>55</v>
      </c>
      <c r="Q96" t="str">
        <f t="shared" si="9"/>
        <v>55 to 64 yrs</v>
      </c>
      <c r="R96" t="s">
        <v>20</v>
      </c>
    </row>
    <row r="97" spans="1:18">
      <c r="A97">
        <v>17197</v>
      </c>
      <c r="B97" t="s">
        <v>25</v>
      </c>
      <c r="C97" t="str">
        <f t="shared" si="5"/>
        <v>Single</v>
      </c>
      <c r="D97" t="s">
        <v>14</v>
      </c>
      <c r="E97" t="str">
        <f t="shared" si="6"/>
        <v>Female</v>
      </c>
      <c r="F97" s="3">
        <v>90000</v>
      </c>
      <c r="G97" s="3" t="str">
        <f t="shared" si="7"/>
        <v>Middle Class</v>
      </c>
      <c r="H97">
        <v>5</v>
      </c>
      <c r="I97" t="s">
        <v>21</v>
      </c>
      <c r="J97" t="s">
        <v>23</v>
      </c>
      <c r="K97" t="s">
        <v>17</v>
      </c>
      <c r="L97" t="str">
        <f t="shared" si="8"/>
        <v>Home Owner</v>
      </c>
      <c r="M97">
        <v>2</v>
      </c>
      <c r="N97" t="s">
        <v>33</v>
      </c>
      <c r="O97" t="s">
        <v>19</v>
      </c>
      <c r="P97">
        <v>62</v>
      </c>
      <c r="Q97" t="str">
        <f t="shared" si="9"/>
        <v>55 to 64 yrs</v>
      </c>
      <c r="R97" t="s">
        <v>20</v>
      </c>
    </row>
    <row r="98" spans="1:18">
      <c r="A98">
        <v>12507</v>
      </c>
      <c r="B98" t="s">
        <v>13</v>
      </c>
      <c r="C98" t="str">
        <f t="shared" si="5"/>
        <v>Married</v>
      </c>
      <c r="D98" t="s">
        <v>13</v>
      </c>
      <c r="E98" t="str">
        <f t="shared" si="6"/>
        <v>Male</v>
      </c>
      <c r="F98" s="3">
        <v>30000</v>
      </c>
      <c r="G98" s="3" t="str">
        <f t="shared" si="7"/>
        <v>Lower Class</v>
      </c>
      <c r="H98">
        <v>1</v>
      </c>
      <c r="I98" t="s">
        <v>21</v>
      </c>
      <c r="J98" t="s">
        <v>22</v>
      </c>
      <c r="K98" t="s">
        <v>17</v>
      </c>
      <c r="L98" t="str">
        <f t="shared" si="8"/>
        <v>Home Owner</v>
      </c>
      <c r="M98">
        <v>1</v>
      </c>
      <c r="N98" t="s">
        <v>18</v>
      </c>
      <c r="O98" t="s">
        <v>19</v>
      </c>
      <c r="P98">
        <v>43</v>
      </c>
      <c r="Q98" t="str">
        <f t="shared" si="9"/>
        <v>35 to 44 yrs</v>
      </c>
      <c r="R98" t="s">
        <v>20</v>
      </c>
    </row>
    <row r="99" spans="1:18">
      <c r="A99">
        <v>23940</v>
      </c>
      <c r="B99" t="s">
        <v>13</v>
      </c>
      <c r="C99" t="str">
        <f t="shared" si="5"/>
        <v>Married</v>
      </c>
      <c r="D99" t="s">
        <v>13</v>
      </c>
      <c r="E99" t="str">
        <f t="shared" si="6"/>
        <v>Male</v>
      </c>
      <c r="F99" s="3">
        <v>40000</v>
      </c>
      <c r="G99" s="3" t="str">
        <f t="shared" si="7"/>
        <v>Lower Class</v>
      </c>
      <c r="H99">
        <v>1</v>
      </c>
      <c r="I99" t="s">
        <v>15</v>
      </c>
      <c r="J99" t="s">
        <v>16</v>
      </c>
      <c r="K99" t="s">
        <v>17</v>
      </c>
      <c r="L99" t="str">
        <f t="shared" si="8"/>
        <v>Home Owner</v>
      </c>
      <c r="M99">
        <v>1</v>
      </c>
      <c r="N99" t="s">
        <v>18</v>
      </c>
      <c r="O99" t="s">
        <v>19</v>
      </c>
      <c r="P99">
        <v>44</v>
      </c>
      <c r="Q99" t="str">
        <f t="shared" si="9"/>
        <v>35 to 44 yrs</v>
      </c>
      <c r="R99" t="s">
        <v>17</v>
      </c>
    </row>
    <row r="100" spans="1:18">
      <c r="A100">
        <v>19441</v>
      </c>
      <c r="B100" t="s">
        <v>13</v>
      </c>
      <c r="C100" t="str">
        <f t="shared" si="5"/>
        <v>Married</v>
      </c>
      <c r="D100" t="s">
        <v>13</v>
      </c>
      <c r="E100" t="str">
        <f t="shared" si="6"/>
        <v>Male</v>
      </c>
      <c r="F100" s="3">
        <v>40000</v>
      </c>
      <c r="G100" s="3" t="str">
        <f t="shared" si="7"/>
        <v>Lower Class</v>
      </c>
      <c r="H100">
        <v>0</v>
      </c>
      <c r="I100" t="s">
        <v>34</v>
      </c>
      <c r="J100" t="s">
        <v>22</v>
      </c>
      <c r="K100" t="s">
        <v>17</v>
      </c>
      <c r="L100" t="str">
        <f t="shared" si="8"/>
        <v>Home Owner</v>
      </c>
      <c r="M100">
        <v>0</v>
      </c>
      <c r="N100" t="s">
        <v>18</v>
      </c>
      <c r="O100" t="s">
        <v>19</v>
      </c>
      <c r="P100">
        <v>25</v>
      </c>
      <c r="Q100" t="str">
        <f t="shared" si="9"/>
        <v>25 to 34 yrs</v>
      </c>
      <c r="R100" t="s">
        <v>17</v>
      </c>
    </row>
    <row r="101" spans="1:18">
      <c r="A101">
        <v>26852</v>
      </c>
      <c r="B101" t="s">
        <v>13</v>
      </c>
      <c r="C101" t="str">
        <f t="shared" si="5"/>
        <v>Married</v>
      </c>
      <c r="D101" t="s">
        <v>14</v>
      </c>
      <c r="E101" t="str">
        <f t="shared" si="6"/>
        <v>Female</v>
      </c>
      <c r="F101" s="3">
        <v>20000</v>
      </c>
      <c r="G101" s="3" t="str">
        <f t="shared" si="7"/>
        <v>Lower Class</v>
      </c>
      <c r="H101">
        <v>3</v>
      </c>
      <c r="I101" t="s">
        <v>30</v>
      </c>
      <c r="J101" t="s">
        <v>28</v>
      </c>
      <c r="K101" t="s">
        <v>17</v>
      </c>
      <c r="L101" t="str">
        <f t="shared" si="8"/>
        <v>Home Owner</v>
      </c>
      <c r="M101">
        <v>2</v>
      </c>
      <c r="N101" t="s">
        <v>18</v>
      </c>
      <c r="O101" t="s">
        <v>19</v>
      </c>
      <c r="P101">
        <v>43</v>
      </c>
      <c r="Q101" t="str">
        <f t="shared" si="9"/>
        <v>35 to 44 yrs</v>
      </c>
      <c r="R101" t="s">
        <v>20</v>
      </c>
    </row>
    <row r="102" spans="1:18">
      <c r="A102">
        <v>12274</v>
      </c>
      <c r="B102" t="s">
        <v>25</v>
      </c>
      <c r="C102" t="str">
        <f t="shared" si="5"/>
        <v>Single</v>
      </c>
      <c r="D102" t="s">
        <v>13</v>
      </c>
      <c r="E102" t="str">
        <f t="shared" si="6"/>
        <v>Male</v>
      </c>
      <c r="F102" s="3">
        <v>10000</v>
      </c>
      <c r="G102" s="3" t="str">
        <f t="shared" si="7"/>
        <v>Lower Class</v>
      </c>
      <c r="H102">
        <v>2</v>
      </c>
      <c r="I102" t="s">
        <v>30</v>
      </c>
      <c r="J102" t="s">
        <v>28</v>
      </c>
      <c r="K102" t="s">
        <v>17</v>
      </c>
      <c r="L102" t="str">
        <f t="shared" si="8"/>
        <v>Home Owner</v>
      </c>
      <c r="M102">
        <v>0</v>
      </c>
      <c r="N102" t="s">
        <v>18</v>
      </c>
      <c r="O102" t="s">
        <v>19</v>
      </c>
      <c r="P102">
        <v>35</v>
      </c>
      <c r="Q102" t="str">
        <f t="shared" si="9"/>
        <v>35 to 44 yrs</v>
      </c>
      <c r="R102" t="s">
        <v>20</v>
      </c>
    </row>
    <row r="103" spans="1:18">
      <c r="A103">
        <v>20236</v>
      </c>
      <c r="B103" t="s">
        <v>25</v>
      </c>
      <c r="C103" t="str">
        <f t="shared" si="5"/>
        <v>Single</v>
      </c>
      <c r="D103" t="s">
        <v>13</v>
      </c>
      <c r="E103" t="str">
        <f t="shared" si="6"/>
        <v>Male</v>
      </c>
      <c r="F103" s="3">
        <v>60000</v>
      </c>
      <c r="G103" s="3" t="str">
        <f t="shared" si="7"/>
        <v>Middle Class</v>
      </c>
      <c r="H103">
        <v>3</v>
      </c>
      <c r="I103" t="s">
        <v>15</v>
      </c>
      <c r="J103" t="s">
        <v>23</v>
      </c>
      <c r="K103" t="s">
        <v>20</v>
      </c>
      <c r="L103" t="str">
        <f t="shared" si="8"/>
        <v>Tenant</v>
      </c>
      <c r="M103">
        <v>2</v>
      </c>
      <c r="N103" t="s">
        <v>18</v>
      </c>
      <c r="O103" t="s">
        <v>27</v>
      </c>
      <c r="P103">
        <v>43</v>
      </c>
      <c r="Q103" t="str">
        <f t="shared" si="9"/>
        <v>35 to 44 yrs</v>
      </c>
      <c r="R103" t="s">
        <v>17</v>
      </c>
    </row>
    <row r="104" spans="1:18">
      <c r="A104">
        <v>24149</v>
      </c>
      <c r="B104" t="s">
        <v>13</v>
      </c>
      <c r="C104" t="str">
        <f t="shared" si="5"/>
        <v>Married</v>
      </c>
      <c r="D104" t="s">
        <v>13</v>
      </c>
      <c r="E104" t="str">
        <f t="shared" si="6"/>
        <v>Male</v>
      </c>
      <c r="F104" s="3">
        <v>10000</v>
      </c>
      <c r="G104" s="3" t="str">
        <f t="shared" si="7"/>
        <v>Lower Class</v>
      </c>
      <c r="H104">
        <v>2</v>
      </c>
      <c r="I104" t="s">
        <v>21</v>
      </c>
      <c r="J104" t="s">
        <v>28</v>
      </c>
      <c r="K104" t="s">
        <v>17</v>
      </c>
      <c r="L104" t="str">
        <f t="shared" si="8"/>
        <v>Home Owner</v>
      </c>
      <c r="M104">
        <v>0</v>
      </c>
      <c r="N104" t="s">
        <v>29</v>
      </c>
      <c r="O104" t="s">
        <v>19</v>
      </c>
      <c r="P104">
        <v>49</v>
      </c>
      <c r="Q104" t="str">
        <f t="shared" si="9"/>
        <v>45 to 54 yrs</v>
      </c>
      <c r="R104" t="s">
        <v>20</v>
      </c>
    </row>
    <row r="105" spans="1:18">
      <c r="A105">
        <v>26139</v>
      </c>
      <c r="B105" t="s">
        <v>25</v>
      </c>
      <c r="C105" t="str">
        <f t="shared" si="5"/>
        <v>Single</v>
      </c>
      <c r="D105" t="s">
        <v>13</v>
      </c>
      <c r="E105" t="str">
        <f t="shared" si="6"/>
        <v>Male</v>
      </c>
      <c r="F105" s="3">
        <v>60000</v>
      </c>
      <c r="G105" s="3" t="str">
        <f t="shared" si="7"/>
        <v>Middle Class</v>
      </c>
      <c r="H105">
        <v>1</v>
      </c>
      <c r="I105" t="s">
        <v>21</v>
      </c>
      <c r="J105" t="s">
        <v>16</v>
      </c>
      <c r="K105" t="s">
        <v>17</v>
      </c>
      <c r="L105" t="str">
        <f t="shared" si="8"/>
        <v>Home Owner</v>
      </c>
      <c r="M105">
        <v>1</v>
      </c>
      <c r="N105" t="s">
        <v>26</v>
      </c>
      <c r="O105" t="s">
        <v>27</v>
      </c>
      <c r="P105">
        <v>45</v>
      </c>
      <c r="Q105" t="str">
        <f t="shared" si="9"/>
        <v>45 to 54 yrs</v>
      </c>
      <c r="R105" t="s">
        <v>20</v>
      </c>
    </row>
    <row r="106" spans="1:18">
      <c r="A106">
        <v>18491</v>
      </c>
      <c r="B106" t="s">
        <v>25</v>
      </c>
      <c r="C106" t="str">
        <f t="shared" si="5"/>
        <v>Single</v>
      </c>
      <c r="D106" t="s">
        <v>14</v>
      </c>
      <c r="E106" t="str">
        <f t="shared" si="6"/>
        <v>Female</v>
      </c>
      <c r="F106" s="3">
        <v>70000</v>
      </c>
      <c r="G106" s="3" t="str">
        <f t="shared" si="7"/>
        <v>Middle Class</v>
      </c>
      <c r="H106">
        <v>2</v>
      </c>
      <c r="I106" t="s">
        <v>30</v>
      </c>
      <c r="J106" t="s">
        <v>23</v>
      </c>
      <c r="K106" t="s">
        <v>17</v>
      </c>
      <c r="L106" t="str">
        <f t="shared" si="8"/>
        <v>Home Owner</v>
      </c>
      <c r="M106">
        <v>2</v>
      </c>
      <c r="N106" t="s">
        <v>26</v>
      </c>
      <c r="O106" t="s">
        <v>27</v>
      </c>
      <c r="P106">
        <v>49</v>
      </c>
      <c r="Q106" t="str">
        <f t="shared" si="9"/>
        <v>45 to 54 yrs</v>
      </c>
      <c r="R106" t="s">
        <v>17</v>
      </c>
    </row>
    <row r="107" spans="1:18">
      <c r="A107">
        <v>22707</v>
      </c>
      <c r="B107" t="s">
        <v>25</v>
      </c>
      <c r="C107" t="str">
        <f t="shared" si="5"/>
        <v>Single</v>
      </c>
      <c r="D107" t="s">
        <v>14</v>
      </c>
      <c r="E107" t="str">
        <f t="shared" si="6"/>
        <v>Female</v>
      </c>
      <c r="F107" s="3">
        <v>30000</v>
      </c>
      <c r="G107" s="3" t="str">
        <f t="shared" si="7"/>
        <v>Lower Class</v>
      </c>
      <c r="H107">
        <v>0</v>
      </c>
      <c r="I107" t="s">
        <v>21</v>
      </c>
      <c r="J107" t="s">
        <v>22</v>
      </c>
      <c r="K107" t="s">
        <v>20</v>
      </c>
      <c r="L107" t="str">
        <f t="shared" si="8"/>
        <v>Tenant</v>
      </c>
      <c r="M107">
        <v>1</v>
      </c>
      <c r="N107" t="s">
        <v>24</v>
      </c>
      <c r="O107" t="s">
        <v>19</v>
      </c>
      <c r="P107">
        <v>30</v>
      </c>
      <c r="Q107" t="str">
        <f t="shared" si="9"/>
        <v>25 to 34 yrs</v>
      </c>
      <c r="R107" t="s">
        <v>20</v>
      </c>
    </row>
    <row r="108" spans="1:18">
      <c r="A108">
        <v>20430</v>
      </c>
      <c r="B108" t="s">
        <v>13</v>
      </c>
      <c r="C108" t="str">
        <f t="shared" si="5"/>
        <v>Married</v>
      </c>
      <c r="D108" t="s">
        <v>13</v>
      </c>
      <c r="E108" t="str">
        <f t="shared" si="6"/>
        <v>Male</v>
      </c>
      <c r="F108" s="3">
        <v>70000</v>
      </c>
      <c r="G108" s="3" t="str">
        <f t="shared" si="7"/>
        <v>Middle Class</v>
      </c>
      <c r="H108">
        <v>2</v>
      </c>
      <c r="I108" t="s">
        <v>21</v>
      </c>
      <c r="J108" t="s">
        <v>16</v>
      </c>
      <c r="K108" t="s">
        <v>17</v>
      </c>
      <c r="L108" t="str">
        <f t="shared" si="8"/>
        <v>Home Owner</v>
      </c>
      <c r="M108">
        <v>2</v>
      </c>
      <c r="N108" t="s">
        <v>26</v>
      </c>
      <c r="O108" t="s">
        <v>27</v>
      </c>
      <c r="P108">
        <v>52</v>
      </c>
      <c r="Q108" t="str">
        <f t="shared" si="9"/>
        <v>45 to 54 yrs</v>
      </c>
      <c r="R108" t="s">
        <v>17</v>
      </c>
    </row>
    <row r="109" spans="1:18">
      <c r="A109">
        <v>27494</v>
      </c>
      <c r="B109" t="s">
        <v>25</v>
      </c>
      <c r="C109" t="str">
        <f t="shared" si="5"/>
        <v>Single</v>
      </c>
      <c r="D109" t="s">
        <v>14</v>
      </c>
      <c r="E109" t="str">
        <f t="shared" si="6"/>
        <v>Female</v>
      </c>
      <c r="F109" s="3">
        <v>40000</v>
      </c>
      <c r="G109" s="3" t="str">
        <f t="shared" si="7"/>
        <v>Lower Class</v>
      </c>
      <c r="H109">
        <v>2</v>
      </c>
      <c r="I109" t="s">
        <v>21</v>
      </c>
      <c r="J109" t="s">
        <v>16</v>
      </c>
      <c r="K109" t="s">
        <v>20</v>
      </c>
      <c r="L109" t="str">
        <f t="shared" si="8"/>
        <v>Tenant</v>
      </c>
      <c r="M109">
        <v>2</v>
      </c>
      <c r="N109" t="s">
        <v>29</v>
      </c>
      <c r="O109" t="s">
        <v>27</v>
      </c>
      <c r="P109">
        <v>53</v>
      </c>
      <c r="Q109" t="str">
        <f t="shared" si="9"/>
        <v>45 to 54 yrs</v>
      </c>
      <c r="R109" t="s">
        <v>17</v>
      </c>
    </row>
    <row r="110" spans="1:18">
      <c r="A110">
        <v>26829</v>
      </c>
      <c r="B110" t="s">
        <v>13</v>
      </c>
      <c r="C110" t="str">
        <f t="shared" si="5"/>
        <v>Married</v>
      </c>
      <c r="D110" t="s">
        <v>14</v>
      </c>
      <c r="E110" t="str">
        <f t="shared" si="6"/>
        <v>Female</v>
      </c>
      <c r="F110" s="3">
        <v>40000</v>
      </c>
      <c r="G110" s="3" t="str">
        <f t="shared" si="7"/>
        <v>Lower Class</v>
      </c>
      <c r="H110">
        <v>0</v>
      </c>
      <c r="I110" t="s">
        <v>15</v>
      </c>
      <c r="J110" t="s">
        <v>22</v>
      </c>
      <c r="K110" t="s">
        <v>17</v>
      </c>
      <c r="L110" t="str">
        <f t="shared" si="8"/>
        <v>Home Owner</v>
      </c>
      <c r="M110">
        <v>0</v>
      </c>
      <c r="N110" t="s">
        <v>18</v>
      </c>
      <c r="O110" t="s">
        <v>19</v>
      </c>
      <c r="P110">
        <v>38</v>
      </c>
      <c r="Q110" t="str">
        <f t="shared" si="9"/>
        <v>35 to 44 yrs</v>
      </c>
      <c r="R110" t="s">
        <v>17</v>
      </c>
    </row>
    <row r="111" spans="1:18">
      <c r="A111">
        <v>28395</v>
      </c>
      <c r="B111" t="s">
        <v>25</v>
      </c>
      <c r="C111" t="str">
        <f t="shared" si="5"/>
        <v>Single</v>
      </c>
      <c r="D111" t="s">
        <v>13</v>
      </c>
      <c r="E111" t="str">
        <f t="shared" si="6"/>
        <v>Male</v>
      </c>
      <c r="F111" s="3">
        <v>40000</v>
      </c>
      <c r="G111" s="3" t="str">
        <f t="shared" si="7"/>
        <v>Lower Class</v>
      </c>
      <c r="H111">
        <v>0</v>
      </c>
      <c r="I111" t="s">
        <v>15</v>
      </c>
      <c r="J111" t="s">
        <v>23</v>
      </c>
      <c r="K111" t="s">
        <v>20</v>
      </c>
      <c r="L111" t="str">
        <f t="shared" si="8"/>
        <v>Tenant</v>
      </c>
      <c r="M111">
        <v>0</v>
      </c>
      <c r="N111" t="s">
        <v>18</v>
      </c>
      <c r="O111" t="s">
        <v>19</v>
      </c>
      <c r="P111">
        <v>39</v>
      </c>
      <c r="Q111" t="str">
        <f t="shared" si="9"/>
        <v>35 to 44 yrs</v>
      </c>
      <c r="R111" t="s">
        <v>17</v>
      </c>
    </row>
    <row r="112" spans="1:18">
      <c r="A112">
        <v>21006</v>
      </c>
      <c r="B112" t="s">
        <v>25</v>
      </c>
      <c r="C112" t="str">
        <f t="shared" si="5"/>
        <v>Single</v>
      </c>
      <c r="D112" t="s">
        <v>14</v>
      </c>
      <c r="E112" t="str">
        <f t="shared" si="6"/>
        <v>Female</v>
      </c>
      <c r="F112" s="3">
        <v>30000</v>
      </c>
      <c r="G112" s="3" t="str">
        <f t="shared" si="7"/>
        <v>Lower Class</v>
      </c>
      <c r="H112">
        <v>1</v>
      </c>
      <c r="I112" t="s">
        <v>21</v>
      </c>
      <c r="J112" t="s">
        <v>28</v>
      </c>
      <c r="K112" t="s">
        <v>20</v>
      </c>
      <c r="L112" t="str">
        <f t="shared" si="8"/>
        <v>Tenant</v>
      </c>
      <c r="M112">
        <v>0</v>
      </c>
      <c r="N112" t="s">
        <v>18</v>
      </c>
      <c r="O112" t="s">
        <v>19</v>
      </c>
      <c r="P112">
        <v>46</v>
      </c>
      <c r="Q112" t="str">
        <f t="shared" si="9"/>
        <v>45 to 54 yrs</v>
      </c>
      <c r="R112" t="s">
        <v>17</v>
      </c>
    </row>
    <row r="113" spans="1:18">
      <c r="A113">
        <v>14682</v>
      </c>
      <c r="B113" t="s">
        <v>25</v>
      </c>
      <c r="C113" t="str">
        <f t="shared" si="5"/>
        <v>Single</v>
      </c>
      <c r="D113" t="s">
        <v>14</v>
      </c>
      <c r="E113" t="str">
        <f t="shared" si="6"/>
        <v>Female</v>
      </c>
      <c r="F113" s="3">
        <v>70000</v>
      </c>
      <c r="G113" s="3" t="str">
        <f t="shared" si="7"/>
        <v>Middle Class</v>
      </c>
      <c r="H113">
        <v>0</v>
      </c>
      <c r="I113" t="s">
        <v>15</v>
      </c>
      <c r="J113" t="s">
        <v>23</v>
      </c>
      <c r="K113" t="s">
        <v>20</v>
      </c>
      <c r="L113" t="str">
        <f t="shared" si="8"/>
        <v>Tenant</v>
      </c>
      <c r="M113">
        <v>1</v>
      </c>
      <c r="N113" t="s">
        <v>26</v>
      </c>
      <c r="O113" t="s">
        <v>27</v>
      </c>
      <c r="P113">
        <v>38</v>
      </c>
      <c r="Q113" t="str">
        <f t="shared" si="9"/>
        <v>35 to 44 yrs</v>
      </c>
      <c r="R113" t="s">
        <v>20</v>
      </c>
    </row>
    <row r="114" spans="1:18">
      <c r="A114">
        <v>17650</v>
      </c>
      <c r="B114" t="s">
        <v>25</v>
      </c>
      <c r="C114" t="str">
        <f t="shared" si="5"/>
        <v>Single</v>
      </c>
      <c r="D114" t="s">
        <v>14</v>
      </c>
      <c r="E114" t="str">
        <f t="shared" si="6"/>
        <v>Female</v>
      </c>
      <c r="F114" s="3">
        <v>40000</v>
      </c>
      <c r="G114" s="3" t="str">
        <f t="shared" si="7"/>
        <v>Lower Class</v>
      </c>
      <c r="H114">
        <v>2</v>
      </c>
      <c r="I114" t="s">
        <v>21</v>
      </c>
      <c r="J114" t="s">
        <v>22</v>
      </c>
      <c r="K114" t="s">
        <v>17</v>
      </c>
      <c r="L114" t="str">
        <f t="shared" si="8"/>
        <v>Home Owner</v>
      </c>
      <c r="M114">
        <v>2</v>
      </c>
      <c r="N114" t="s">
        <v>29</v>
      </c>
      <c r="O114" t="s">
        <v>19</v>
      </c>
      <c r="P114">
        <v>35</v>
      </c>
      <c r="Q114" t="str">
        <f t="shared" si="9"/>
        <v>35 to 44 yrs</v>
      </c>
      <c r="R114" t="s">
        <v>20</v>
      </c>
    </row>
    <row r="115" spans="1:18">
      <c r="A115">
        <v>29191</v>
      </c>
      <c r="B115" t="s">
        <v>25</v>
      </c>
      <c r="C115" t="str">
        <f t="shared" si="5"/>
        <v>Single</v>
      </c>
      <c r="D115" t="s">
        <v>14</v>
      </c>
      <c r="E115" t="str">
        <f t="shared" si="6"/>
        <v>Female</v>
      </c>
      <c r="F115" s="3">
        <v>130000</v>
      </c>
      <c r="G115" s="3" t="str">
        <f t="shared" si="7"/>
        <v>Upper Middle Class</v>
      </c>
      <c r="H115">
        <v>1</v>
      </c>
      <c r="I115" t="s">
        <v>34</v>
      </c>
      <c r="J115" t="s">
        <v>31</v>
      </c>
      <c r="K115" t="s">
        <v>20</v>
      </c>
      <c r="L115" t="str">
        <f t="shared" si="8"/>
        <v>Tenant</v>
      </c>
      <c r="M115">
        <v>1</v>
      </c>
      <c r="N115" t="s">
        <v>18</v>
      </c>
      <c r="O115" t="s">
        <v>27</v>
      </c>
      <c r="P115">
        <v>36</v>
      </c>
      <c r="Q115" t="str">
        <f t="shared" si="9"/>
        <v>35 to 44 yrs</v>
      </c>
      <c r="R115" t="s">
        <v>17</v>
      </c>
    </row>
    <row r="116" spans="1:18">
      <c r="A116">
        <v>15030</v>
      </c>
      <c r="B116" t="s">
        <v>13</v>
      </c>
      <c r="C116" t="str">
        <f t="shared" si="5"/>
        <v>Married</v>
      </c>
      <c r="D116" t="s">
        <v>13</v>
      </c>
      <c r="E116" t="str">
        <f t="shared" si="6"/>
        <v>Male</v>
      </c>
      <c r="F116" s="3">
        <v>20000</v>
      </c>
      <c r="G116" s="3" t="str">
        <f t="shared" si="7"/>
        <v>Lower Class</v>
      </c>
      <c r="H116">
        <v>0</v>
      </c>
      <c r="I116" t="s">
        <v>15</v>
      </c>
      <c r="J116" t="s">
        <v>22</v>
      </c>
      <c r="K116" t="s">
        <v>17</v>
      </c>
      <c r="L116" t="str">
        <f t="shared" si="8"/>
        <v>Home Owner</v>
      </c>
      <c r="M116">
        <v>0</v>
      </c>
      <c r="N116" t="s">
        <v>18</v>
      </c>
      <c r="O116" t="s">
        <v>27</v>
      </c>
      <c r="P116">
        <v>26</v>
      </c>
      <c r="Q116" t="str">
        <f t="shared" si="9"/>
        <v>25 to 34 yrs</v>
      </c>
      <c r="R116" t="s">
        <v>17</v>
      </c>
    </row>
    <row r="117" spans="1:18">
      <c r="A117">
        <v>24140</v>
      </c>
      <c r="B117" t="s">
        <v>25</v>
      </c>
      <c r="C117" t="str">
        <f t="shared" si="5"/>
        <v>Single</v>
      </c>
      <c r="D117" t="s">
        <v>13</v>
      </c>
      <c r="E117" t="str">
        <f t="shared" si="6"/>
        <v>Male</v>
      </c>
      <c r="F117" s="3">
        <v>10000</v>
      </c>
      <c r="G117" s="3" t="str">
        <f t="shared" si="7"/>
        <v>Lower Class</v>
      </c>
      <c r="H117">
        <v>0</v>
      </c>
      <c r="I117" t="s">
        <v>34</v>
      </c>
      <c r="J117" t="s">
        <v>28</v>
      </c>
      <c r="K117" t="s">
        <v>20</v>
      </c>
      <c r="L117" t="str">
        <f t="shared" si="8"/>
        <v>Tenant</v>
      </c>
      <c r="M117">
        <v>0</v>
      </c>
      <c r="N117" t="s">
        <v>18</v>
      </c>
      <c r="O117" t="s">
        <v>19</v>
      </c>
      <c r="P117">
        <v>30</v>
      </c>
      <c r="Q117" t="str">
        <f t="shared" si="9"/>
        <v>25 to 34 yrs</v>
      </c>
      <c r="R117" t="s">
        <v>17</v>
      </c>
    </row>
    <row r="118" spans="1:18">
      <c r="A118">
        <v>22496</v>
      </c>
      <c r="B118" t="s">
        <v>13</v>
      </c>
      <c r="C118" t="str">
        <f t="shared" si="5"/>
        <v>Married</v>
      </c>
      <c r="D118" t="s">
        <v>14</v>
      </c>
      <c r="E118" t="str">
        <f t="shared" si="6"/>
        <v>Female</v>
      </c>
      <c r="F118" s="3">
        <v>30000</v>
      </c>
      <c r="G118" s="3" t="str">
        <f t="shared" si="7"/>
        <v>Lower Class</v>
      </c>
      <c r="H118">
        <v>1</v>
      </c>
      <c r="I118" t="s">
        <v>15</v>
      </c>
      <c r="J118" t="s">
        <v>16</v>
      </c>
      <c r="K118" t="s">
        <v>17</v>
      </c>
      <c r="L118" t="str">
        <f t="shared" si="8"/>
        <v>Home Owner</v>
      </c>
      <c r="M118">
        <v>2</v>
      </c>
      <c r="N118" t="s">
        <v>18</v>
      </c>
      <c r="O118" t="s">
        <v>19</v>
      </c>
      <c r="P118">
        <v>42</v>
      </c>
      <c r="Q118" t="str">
        <f t="shared" si="9"/>
        <v>35 to 44 yrs</v>
      </c>
      <c r="R118" t="s">
        <v>20</v>
      </c>
    </row>
    <row r="119" spans="1:18">
      <c r="A119">
        <v>24065</v>
      </c>
      <c r="B119" t="s">
        <v>25</v>
      </c>
      <c r="C119" t="str">
        <f t="shared" si="5"/>
        <v>Single</v>
      </c>
      <c r="D119" t="s">
        <v>14</v>
      </c>
      <c r="E119" t="str">
        <f t="shared" si="6"/>
        <v>Female</v>
      </c>
      <c r="F119" s="3">
        <v>20000</v>
      </c>
      <c r="G119" s="3" t="str">
        <f t="shared" si="7"/>
        <v>Lower Class</v>
      </c>
      <c r="H119">
        <v>0</v>
      </c>
      <c r="I119" t="s">
        <v>30</v>
      </c>
      <c r="J119" t="s">
        <v>28</v>
      </c>
      <c r="K119" t="s">
        <v>17</v>
      </c>
      <c r="L119" t="str">
        <f t="shared" si="8"/>
        <v>Home Owner</v>
      </c>
      <c r="M119">
        <v>0</v>
      </c>
      <c r="N119" t="s">
        <v>18</v>
      </c>
      <c r="O119" t="s">
        <v>19</v>
      </c>
      <c r="P119">
        <v>40</v>
      </c>
      <c r="Q119" t="str">
        <f t="shared" si="9"/>
        <v>35 to 44 yrs</v>
      </c>
      <c r="R119" t="s">
        <v>17</v>
      </c>
    </row>
    <row r="120" spans="1:18">
      <c r="A120">
        <v>19914</v>
      </c>
      <c r="B120" t="s">
        <v>13</v>
      </c>
      <c r="C120" t="str">
        <f t="shared" si="5"/>
        <v>Married</v>
      </c>
      <c r="D120" t="s">
        <v>13</v>
      </c>
      <c r="E120" t="str">
        <f t="shared" si="6"/>
        <v>Male</v>
      </c>
      <c r="F120" s="3">
        <v>80000</v>
      </c>
      <c r="G120" s="3" t="str">
        <f t="shared" si="7"/>
        <v>Middle Class</v>
      </c>
      <c r="H120">
        <v>5</v>
      </c>
      <c r="I120" t="s">
        <v>15</v>
      </c>
      <c r="J120" t="s">
        <v>31</v>
      </c>
      <c r="K120" t="s">
        <v>17</v>
      </c>
      <c r="L120" t="str">
        <f t="shared" si="8"/>
        <v>Home Owner</v>
      </c>
      <c r="M120">
        <v>2</v>
      </c>
      <c r="N120" t="s">
        <v>24</v>
      </c>
      <c r="O120" t="s">
        <v>19</v>
      </c>
      <c r="P120">
        <v>62</v>
      </c>
      <c r="Q120" t="str">
        <f t="shared" si="9"/>
        <v>55 to 64 yrs</v>
      </c>
      <c r="R120" t="s">
        <v>20</v>
      </c>
    </row>
    <row r="121" spans="1:18">
      <c r="A121">
        <v>12871</v>
      </c>
      <c r="B121" t="s">
        <v>25</v>
      </c>
      <c r="C121" t="str">
        <f t="shared" si="5"/>
        <v>Single</v>
      </c>
      <c r="D121" t="s">
        <v>14</v>
      </c>
      <c r="E121" t="str">
        <f t="shared" si="6"/>
        <v>Female</v>
      </c>
      <c r="F121" s="3">
        <v>30000</v>
      </c>
      <c r="G121" s="3" t="str">
        <f t="shared" si="7"/>
        <v>Lower Class</v>
      </c>
      <c r="H121">
        <v>0</v>
      </c>
      <c r="I121" t="s">
        <v>21</v>
      </c>
      <c r="J121" t="s">
        <v>22</v>
      </c>
      <c r="K121" t="s">
        <v>20</v>
      </c>
      <c r="L121" t="str">
        <f t="shared" si="8"/>
        <v>Tenant</v>
      </c>
      <c r="M121">
        <v>1</v>
      </c>
      <c r="N121" t="s">
        <v>24</v>
      </c>
      <c r="O121" t="s">
        <v>19</v>
      </c>
      <c r="P121">
        <v>29</v>
      </c>
      <c r="Q121" t="str">
        <f t="shared" si="9"/>
        <v>25 to 34 yrs</v>
      </c>
      <c r="R121" t="s">
        <v>20</v>
      </c>
    </row>
    <row r="122" spans="1:18">
      <c r="A122">
        <v>22988</v>
      </c>
      <c r="B122" t="s">
        <v>13</v>
      </c>
      <c r="C122" t="str">
        <f t="shared" si="5"/>
        <v>Married</v>
      </c>
      <c r="D122" t="s">
        <v>14</v>
      </c>
      <c r="E122" t="str">
        <f t="shared" si="6"/>
        <v>Female</v>
      </c>
      <c r="F122" s="3">
        <v>40000</v>
      </c>
      <c r="G122" s="3" t="str">
        <f t="shared" si="7"/>
        <v>Lower Class</v>
      </c>
      <c r="H122">
        <v>2</v>
      </c>
      <c r="I122" t="s">
        <v>15</v>
      </c>
      <c r="J122" t="s">
        <v>31</v>
      </c>
      <c r="K122" t="s">
        <v>17</v>
      </c>
      <c r="L122" t="str">
        <f t="shared" si="8"/>
        <v>Home Owner</v>
      </c>
      <c r="M122">
        <v>2</v>
      </c>
      <c r="N122" t="s">
        <v>26</v>
      </c>
      <c r="O122" t="s">
        <v>27</v>
      </c>
      <c r="P122">
        <v>66</v>
      </c>
      <c r="Q122" t="str">
        <f t="shared" si="9"/>
        <v>65 yrs &amp; Above</v>
      </c>
      <c r="R122" t="s">
        <v>17</v>
      </c>
    </row>
    <row r="123" spans="1:18">
      <c r="A123">
        <v>15922</v>
      </c>
      <c r="B123" t="s">
        <v>13</v>
      </c>
      <c r="C123" t="str">
        <f t="shared" si="5"/>
        <v>Married</v>
      </c>
      <c r="D123" t="s">
        <v>13</v>
      </c>
      <c r="E123" t="str">
        <f t="shared" si="6"/>
        <v>Male</v>
      </c>
      <c r="F123" s="3">
        <v>150000</v>
      </c>
      <c r="G123" s="3" t="str">
        <f t="shared" si="7"/>
        <v>Upper Middle Class</v>
      </c>
      <c r="H123">
        <v>2</v>
      </c>
      <c r="I123" t="s">
        <v>30</v>
      </c>
      <c r="J123" t="s">
        <v>23</v>
      </c>
      <c r="K123" t="s">
        <v>17</v>
      </c>
      <c r="L123" t="str">
        <f t="shared" si="8"/>
        <v>Home Owner</v>
      </c>
      <c r="M123">
        <v>4</v>
      </c>
      <c r="N123" t="s">
        <v>18</v>
      </c>
      <c r="O123" t="s">
        <v>19</v>
      </c>
      <c r="P123">
        <v>48</v>
      </c>
      <c r="Q123" t="str">
        <f t="shared" si="9"/>
        <v>45 to 54 yrs</v>
      </c>
      <c r="R123" t="s">
        <v>20</v>
      </c>
    </row>
    <row r="124" spans="1:18">
      <c r="A124">
        <v>12344</v>
      </c>
      <c r="B124" t="s">
        <v>25</v>
      </c>
      <c r="C124" t="str">
        <f t="shared" si="5"/>
        <v>Single</v>
      </c>
      <c r="D124" t="s">
        <v>14</v>
      </c>
      <c r="E124" t="str">
        <f t="shared" si="6"/>
        <v>Female</v>
      </c>
      <c r="F124" s="3">
        <v>80000</v>
      </c>
      <c r="G124" s="3" t="str">
        <f t="shared" si="7"/>
        <v>Middle Class</v>
      </c>
      <c r="H124">
        <v>0</v>
      </c>
      <c r="I124" t="s">
        <v>15</v>
      </c>
      <c r="J124" t="s">
        <v>23</v>
      </c>
      <c r="K124" t="s">
        <v>20</v>
      </c>
      <c r="L124" t="str">
        <f t="shared" si="8"/>
        <v>Tenant</v>
      </c>
      <c r="M124">
        <v>3</v>
      </c>
      <c r="N124" t="s">
        <v>33</v>
      </c>
      <c r="O124" t="s">
        <v>27</v>
      </c>
      <c r="P124">
        <v>31</v>
      </c>
      <c r="Q124" t="str">
        <f t="shared" si="9"/>
        <v>25 to 34 yrs</v>
      </c>
      <c r="R124" t="s">
        <v>20</v>
      </c>
    </row>
    <row r="125" spans="1:18">
      <c r="A125">
        <v>23627</v>
      </c>
      <c r="B125" t="s">
        <v>25</v>
      </c>
      <c r="C125" t="str">
        <f t="shared" si="5"/>
        <v>Single</v>
      </c>
      <c r="D125" t="s">
        <v>14</v>
      </c>
      <c r="E125" t="str">
        <f t="shared" si="6"/>
        <v>Female</v>
      </c>
      <c r="F125" s="3">
        <v>100000</v>
      </c>
      <c r="G125" s="3" t="str">
        <f t="shared" si="7"/>
        <v>Middle Class</v>
      </c>
      <c r="H125">
        <v>3</v>
      </c>
      <c r="I125" t="s">
        <v>21</v>
      </c>
      <c r="J125" t="s">
        <v>31</v>
      </c>
      <c r="K125" t="s">
        <v>20</v>
      </c>
      <c r="L125" t="str">
        <f t="shared" si="8"/>
        <v>Tenant</v>
      </c>
      <c r="M125">
        <v>4</v>
      </c>
      <c r="N125" t="s">
        <v>26</v>
      </c>
      <c r="O125" t="s">
        <v>19</v>
      </c>
      <c r="P125">
        <v>56</v>
      </c>
      <c r="Q125" t="str">
        <f t="shared" si="9"/>
        <v>55 to 64 yrs</v>
      </c>
      <c r="R125" t="s">
        <v>20</v>
      </c>
    </row>
    <row r="126" spans="1:18">
      <c r="A126">
        <v>27775</v>
      </c>
      <c r="B126" t="s">
        <v>25</v>
      </c>
      <c r="C126" t="str">
        <f t="shared" si="5"/>
        <v>Single</v>
      </c>
      <c r="D126" t="s">
        <v>14</v>
      </c>
      <c r="E126" t="str">
        <f t="shared" si="6"/>
        <v>Female</v>
      </c>
      <c r="F126" s="3">
        <v>40000</v>
      </c>
      <c r="G126" s="3" t="str">
        <f t="shared" si="7"/>
        <v>Lower Class</v>
      </c>
      <c r="H126">
        <v>0</v>
      </c>
      <c r="I126" t="s">
        <v>15</v>
      </c>
      <c r="J126" t="s">
        <v>22</v>
      </c>
      <c r="K126" t="s">
        <v>20</v>
      </c>
      <c r="L126" t="str">
        <f t="shared" si="8"/>
        <v>Tenant</v>
      </c>
      <c r="M126">
        <v>0</v>
      </c>
      <c r="N126" t="s">
        <v>18</v>
      </c>
      <c r="O126" t="s">
        <v>19</v>
      </c>
      <c r="P126">
        <v>38</v>
      </c>
      <c r="Q126" t="str">
        <f t="shared" si="9"/>
        <v>35 to 44 yrs</v>
      </c>
      <c r="R126" t="s">
        <v>17</v>
      </c>
    </row>
    <row r="127" spans="1:18">
      <c r="A127">
        <v>29301</v>
      </c>
      <c r="B127" t="s">
        <v>13</v>
      </c>
      <c r="C127" t="str">
        <f t="shared" si="5"/>
        <v>Married</v>
      </c>
      <c r="D127" t="s">
        <v>13</v>
      </c>
      <c r="E127" t="str">
        <f t="shared" si="6"/>
        <v>Male</v>
      </c>
      <c r="F127" s="3">
        <v>80000</v>
      </c>
      <c r="G127" s="3" t="str">
        <f t="shared" si="7"/>
        <v>Middle Class</v>
      </c>
      <c r="H127">
        <v>5</v>
      </c>
      <c r="I127" t="s">
        <v>15</v>
      </c>
      <c r="J127" t="s">
        <v>23</v>
      </c>
      <c r="K127" t="s">
        <v>17</v>
      </c>
      <c r="L127" t="str">
        <f t="shared" si="8"/>
        <v>Home Owner</v>
      </c>
      <c r="M127">
        <v>4</v>
      </c>
      <c r="N127" t="s">
        <v>29</v>
      </c>
      <c r="O127" t="s">
        <v>27</v>
      </c>
      <c r="P127">
        <v>40</v>
      </c>
      <c r="Q127" t="str">
        <f t="shared" si="9"/>
        <v>35 to 44 yrs</v>
      </c>
      <c r="R127" t="s">
        <v>20</v>
      </c>
    </row>
    <row r="128" spans="1:18">
      <c r="A128">
        <v>12716</v>
      </c>
      <c r="B128" t="s">
        <v>25</v>
      </c>
      <c r="C128" t="str">
        <f t="shared" si="5"/>
        <v>Single</v>
      </c>
      <c r="D128" t="s">
        <v>13</v>
      </c>
      <c r="E128" t="str">
        <f t="shared" si="6"/>
        <v>Male</v>
      </c>
      <c r="F128" s="3">
        <v>30000</v>
      </c>
      <c r="G128" s="3" t="str">
        <f t="shared" si="7"/>
        <v>Lower Class</v>
      </c>
      <c r="H128">
        <v>0</v>
      </c>
      <c r="I128" t="s">
        <v>21</v>
      </c>
      <c r="J128" t="s">
        <v>22</v>
      </c>
      <c r="K128" t="s">
        <v>17</v>
      </c>
      <c r="L128" t="str">
        <f t="shared" si="8"/>
        <v>Home Owner</v>
      </c>
      <c r="M128">
        <v>1</v>
      </c>
      <c r="N128" t="s">
        <v>24</v>
      </c>
      <c r="O128" t="s">
        <v>19</v>
      </c>
      <c r="P128">
        <v>32</v>
      </c>
      <c r="Q128" t="str">
        <f t="shared" si="9"/>
        <v>25 to 34 yrs</v>
      </c>
      <c r="R128" t="s">
        <v>20</v>
      </c>
    </row>
    <row r="129" spans="1:18">
      <c r="A129">
        <v>12472</v>
      </c>
      <c r="B129" t="s">
        <v>13</v>
      </c>
      <c r="C129" t="str">
        <f t="shared" si="5"/>
        <v>Married</v>
      </c>
      <c r="D129" t="s">
        <v>13</v>
      </c>
      <c r="E129" t="str">
        <f t="shared" si="6"/>
        <v>Male</v>
      </c>
      <c r="F129" s="3">
        <v>30000</v>
      </c>
      <c r="G129" s="3" t="str">
        <f t="shared" si="7"/>
        <v>Lower Class</v>
      </c>
      <c r="H129">
        <v>1</v>
      </c>
      <c r="I129" t="s">
        <v>15</v>
      </c>
      <c r="J129" t="s">
        <v>22</v>
      </c>
      <c r="K129" t="s">
        <v>17</v>
      </c>
      <c r="L129" t="str">
        <f t="shared" si="8"/>
        <v>Home Owner</v>
      </c>
      <c r="M129">
        <v>1</v>
      </c>
      <c r="N129" t="s">
        <v>24</v>
      </c>
      <c r="O129" t="s">
        <v>19</v>
      </c>
      <c r="P129">
        <v>39</v>
      </c>
      <c r="Q129" t="str">
        <f t="shared" si="9"/>
        <v>35 to 44 yrs</v>
      </c>
      <c r="R129" t="s">
        <v>20</v>
      </c>
    </row>
    <row r="130" spans="1:18">
      <c r="A130">
        <v>20970</v>
      </c>
      <c r="B130" t="s">
        <v>25</v>
      </c>
      <c r="C130" t="str">
        <f t="shared" si="5"/>
        <v>Single</v>
      </c>
      <c r="D130" t="s">
        <v>13</v>
      </c>
      <c r="E130" t="str">
        <f t="shared" si="6"/>
        <v>Male</v>
      </c>
      <c r="F130" s="3">
        <v>10000</v>
      </c>
      <c r="G130" s="3" t="str">
        <f t="shared" si="7"/>
        <v>Lower Class</v>
      </c>
      <c r="H130">
        <v>2</v>
      </c>
      <c r="I130" t="s">
        <v>21</v>
      </c>
      <c r="J130" t="s">
        <v>28</v>
      </c>
      <c r="K130" t="s">
        <v>17</v>
      </c>
      <c r="L130" t="str">
        <f t="shared" si="8"/>
        <v>Home Owner</v>
      </c>
      <c r="M130">
        <v>1</v>
      </c>
      <c r="N130" t="s">
        <v>18</v>
      </c>
      <c r="O130" t="s">
        <v>19</v>
      </c>
      <c r="P130">
        <v>52</v>
      </c>
      <c r="Q130" t="str">
        <f t="shared" si="9"/>
        <v>45 to 54 yrs</v>
      </c>
      <c r="R130" t="s">
        <v>17</v>
      </c>
    </row>
    <row r="131" spans="1:18">
      <c r="A131">
        <v>26818</v>
      </c>
      <c r="B131" t="s">
        <v>25</v>
      </c>
      <c r="C131" t="str">
        <f t="shared" ref="C131:C194" si="10">IF($B$2:$B$1001="M", "Married","Single")</f>
        <v>Single</v>
      </c>
      <c r="D131" t="s">
        <v>13</v>
      </c>
      <c r="E131" t="str">
        <f t="shared" ref="E131:E194" si="11">IF($D$2:$D$1001="F", "Female", "Male")</f>
        <v>Male</v>
      </c>
      <c r="F131" s="3">
        <v>10000</v>
      </c>
      <c r="G131" s="3" t="str">
        <f t="shared" ref="G131:G194" si="12">_xlfn.IFS(F131&lt;=57375,"Lower Class",F131&lt;=114750,"Middle Class",F131&lt;=253414,"Upper Middle Class",TRUE,"Upper Class")</f>
        <v>Lower Class</v>
      </c>
      <c r="H131">
        <v>3</v>
      </c>
      <c r="I131" t="s">
        <v>30</v>
      </c>
      <c r="J131" t="s">
        <v>28</v>
      </c>
      <c r="K131" t="s">
        <v>17</v>
      </c>
      <c r="L131" t="str">
        <f t="shared" ref="L131:L194" si="13">IF($K$2:$K$1001="Yes", "Home Owner","Tenant")</f>
        <v>Home Owner</v>
      </c>
      <c r="M131">
        <v>1</v>
      </c>
      <c r="N131" t="s">
        <v>18</v>
      </c>
      <c r="O131" t="s">
        <v>19</v>
      </c>
      <c r="P131">
        <v>39</v>
      </c>
      <c r="Q131" t="str">
        <f t="shared" ref="Q131:Q194" si="14">_xlfn.IFS(P131&lt;25,"Less than 25 yrs",P131&lt;35,"25 to 34 yrs",P131&lt;45,"35 to 44 yrs",P131&lt;55,"45 to 54 yrs",P131&lt;65,"55 to 64 yrs", TRUE, "65 yrs &amp; Above")</f>
        <v>35 to 44 yrs</v>
      </c>
      <c r="R131" t="s">
        <v>17</v>
      </c>
    </row>
    <row r="132" spans="1:18">
      <c r="A132">
        <v>12993</v>
      </c>
      <c r="B132" t="s">
        <v>13</v>
      </c>
      <c r="C132" t="str">
        <f t="shared" si="10"/>
        <v>Married</v>
      </c>
      <c r="D132" t="s">
        <v>13</v>
      </c>
      <c r="E132" t="str">
        <f t="shared" si="11"/>
        <v>Male</v>
      </c>
      <c r="F132" s="3">
        <v>60000</v>
      </c>
      <c r="G132" s="3" t="str">
        <f t="shared" si="12"/>
        <v>Middle Class</v>
      </c>
      <c r="H132">
        <v>2</v>
      </c>
      <c r="I132" t="s">
        <v>15</v>
      </c>
      <c r="J132" t="s">
        <v>23</v>
      </c>
      <c r="K132" t="s">
        <v>17</v>
      </c>
      <c r="L132" t="str">
        <f t="shared" si="13"/>
        <v>Home Owner</v>
      </c>
      <c r="M132">
        <v>1</v>
      </c>
      <c r="N132" t="s">
        <v>24</v>
      </c>
      <c r="O132" t="s">
        <v>27</v>
      </c>
      <c r="P132">
        <v>37</v>
      </c>
      <c r="Q132" t="str">
        <f t="shared" si="14"/>
        <v>35 to 44 yrs</v>
      </c>
      <c r="R132" t="s">
        <v>20</v>
      </c>
    </row>
    <row r="133" spans="1:18">
      <c r="A133">
        <v>14192</v>
      </c>
      <c r="B133" t="s">
        <v>13</v>
      </c>
      <c r="C133" t="str">
        <f t="shared" si="10"/>
        <v>Married</v>
      </c>
      <c r="D133" t="s">
        <v>13</v>
      </c>
      <c r="E133" t="str">
        <f t="shared" si="11"/>
        <v>Male</v>
      </c>
      <c r="F133" s="3">
        <v>90000</v>
      </c>
      <c r="G133" s="3" t="str">
        <f t="shared" si="12"/>
        <v>Middle Class</v>
      </c>
      <c r="H133">
        <v>4</v>
      </c>
      <c r="I133" t="s">
        <v>30</v>
      </c>
      <c r="J133" t="s">
        <v>31</v>
      </c>
      <c r="K133" t="s">
        <v>17</v>
      </c>
      <c r="L133" t="str">
        <f t="shared" si="13"/>
        <v>Home Owner</v>
      </c>
      <c r="M133">
        <v>3</v>
      </c>
      <c r="N133" t="s">
        <v>26</v>
      </c>
      <c r="O133" t="s">
        <v>19</v>
      </c>
      <c r="P133">
        <v>56</v>
      </c>
      <c r="Q133" t="str">
        <f t="shared" si="14"/>
        <v>55 to 64 yrs</v>
      </c>
      <c r="R133" t="s">
        <v>17</v>
      </c>
    </row>
    <row r="134" spans="1:18">
      <c r="A134">
        <v>19477</v>
      </c>
      <c r="B134" t="s">
        <v>13</v>
      </c>
      <c r="C134" t="str">
        <f t="shared" si="10"/>
        <v>Married</v>
      </c>
      <c r="D134" t="s">
        <v>13</v>
      </c>
      <c r="E134" t="str">
        <f t="shared" si="11"/>
        <v>Male</v>
      </c>
      <c r="F134" s="3">
        <v>40000</v>
      </c>
      <c r="G134" s="3" t="str">
        <f t="shared" si="12"/>
        <v>Lower Class</v>
      </c>
      <c r="H134">
        <v>0</v>
      </c>
      <c r="I134" t="s">
        <v>15</v>
      </c>
      <c r="J134" t="s">
        <v>23</v>
      </c>
      <c r="K134" t="s">
        <v>17</v>
      </c>
      <c r="L134" t="str">
        <f t="shared" si="13"/>
        <v>Home Owner</v>
      </c>
      <c r="M134">
        <v>0</v>
      </c>
      <c r="N134" t="s">
        <v>18</v>
      </c>
      <c r="O134" t="s">
        <v>19</v>
      </c>
      <c r="P134">
        <v>40</v>
      </c>
      <c r="Q134" t="str">
        <f t="shared" si="14"/>
        <v>35 to 44 yrs</v>
      </c>
      <c r="R134" t="s">
        <v>17</v>
      </c>
    </row>
    <row r="135" spans="1:18">
      <c r="A135">
        <v>26796</v>
      </c>
      <c r="B135" t="s">
        <v>25</v>
      </c>
      <c r="C135" t="str">
        <f t="shared" si="10"/>
        <v>Single</v>
      </c>
      <c r="D135" t="s">
        <v>13</v>
      </c>
      <c r="E135" t="str">
        <f t="shared" si="11"/>
        <v>Male</v>
      </c>
      <c r="F135" s="3">
        <v>40000</v>
      </c>
      <c r="G135" s="3" t="str">
        <f t="shared" si="12"/>
        <v>Lower Class</v>
      </c>
      <c r="H135">
        <v>2</v>
      </c>
      <c r="I135" t="s">
        <v>15</v>
      </c>
      <c r="J135" t="s">
        <v>31</v>
      </c>
      <c r="K135" t="s">
        <v>17</v>
      </c>
      <c r="L135" t="str">
        <f t="shared" si="13"/>
        <v>Home Owner</v>
      </c>
      <c r="M135">
        <v>2</v>
      </c>
      <c r="N135" t="s">
        <v>26</v>
      </c>
      <c r="O135" t="s">
        <v>27</v>
      </c>
      <c r="P135">
        <v>65</v>
      </c>
      <c r="Q135" t="str">
        <f t="shared" si="14"/>
        <v>65 yrs &amp; Above</v>
      </c>
      <c r="R135" t="s">
        <v>17</v>
      </c>
    </row>
    <row r="136" spans="1:18">
      <c r="A136">
        <v>21094</v>
      </c>
      <c r="B136" t="s">
        <v>25</v>
      </c>
      <c r="C136" t="str">
        <f t="shared" si="10"/>
        <v>Single</v>
      </c>
      <c r="D136" t="s">
        <v>14</v>
      </c>
      <c r="E136" t="str">
        <f t="shared" si="11"/>
        <v>Female</v>
      </c>
      <c r="F136" s="3">
        <v>30000</v>
      </c>
      <c r="G136" s="3" t="str">
        <f t="shared" si="12"/>
        <v>Lower Class</v>
      </c>
      <c r="H136">
        <v>2</v>
      </c>
      <c r="I136" t="s">
        <v>21</v>
      </c>
      <c r="J136" t="s">
        <v>22</v>
      </c>
      <c r="K136" t="s">
        <v>17</v>
      </c>
      <c r="L136" t="str">
        <f t="shared" si="13"/>
        <v>Home Owner</v>
      </c>
      <c r="M136">
        <v>2</v>
      </c>
      <c r="N136" t="s">
        <v>18</v>
      </c>
      <c r="O136" t="s">
        <v>19</v>
      </c>
      <c r="P136">
        <v>42</v>
      </c>
      <c r="Q136" t="str">
        <f t="shared" si="14"/>
        <v>35 to 44 yrs</v>
      </c>
      <c r="R136" t="s">
        <v>20</v>
      </c>
    </row>
    <row r="137" spans="1:18">
      <c r="A137">
        <v>12234</v>
      </c>
      <c r="B137" t="s">
        <v>13</v>
      </c>
      <c r="C137" t="str">
        <f t="shared" si="10"/>
        <v>Married</v>
      </c>
      <c r="D137" t="s">
        <v>13</v>
      </c>
      <c r="E137" t="str">
        <f t="shared" si="11"/>
        <v>Male</v>
      </c>
      <c r="F137" s="3">
        <v>10000</v>
      </c>
      <c r="G137" s="3" t="str">
        <f t="shared" si="12"/>
        <v>Lower Class</v>
      </c>
      <c r="H137">
        <v>2</v>
      </c>
      <c r="I137" t="s">
        <v>21</v>
      </c>
      <c r="J137" t="s">
        <v>28</v>
      </c>
      <c r="K137" t="s">
        <v>17</v>
      </c>
      <c r="L137" t="str">
        <f t="shared" si="13"/>
        <v>Home Owner</v>
      </c>
      <c r="M137">
        <v>1</v>
      </c>
      <c r="N137" t="s">
        <v>24</v>
      </c>
      <c r="O137" t="s">
        <v>19</v>
      </c>
      <c r="P137">
        <v>52</v>
      </c>
      <c r="Q137" t="str">
        <f t="shared" si="14"/>
        <v>45 to 54 yrs</v>
      </c>
      <c r="R137" t="s">
        <v>20</v>
      </c>
    </row>
    <row r="138" spans="1:18">
      <c r="A138">
        <v>28683</v>
      </c>
      <c r="B138" t="s">
        <v>25</v>
      </c>
      <c r="C138" t="str">
        <f t="shared" si="10"/>
        <v>Single</v>
      </c>
      <c r="D138" t="s">
        <v>14</v>
      </c>
      <c r="E138" t="str">
        <f t="shared" si="11"/>
        <v>Female</v>
      </c>
      <c r="F138" s="3">
        <v>10000</v>
      </c>
      <c r="G138" s="3" t="str">
        <f t="shared" si="12"/>
        <v>Lower Class</v>
      </c>
      <c r="H138">
        <v>1</v>
      </c>
      <c r="I138" t="s">
        <v>30</v>
      </c>
      <c r="J138" t="s">
        <v>28</v>
      </c>
      <c r="K138" t="s">
        <v>20</v>
      </c>
      <c r="L138" t="str">
        <f t="shared" si="13"/>
        <v>Tenant</v>
      </c>
      <c r="M138">
        <v>1</v>
      </c>
      <c r="N138" t="s">
        <v>26</v>
      </c>
      <c r="O138" t="s">
        <v>19</v>
      </c>
      <c r="P138">
        <v>35</v>
      </c>
      <c r="Q138" t="str">
        <f t="shared" si="14"/>
        <v>35 to 44 yrs</v>
      </c>
      <c r="R138" t="s">
        <v>17</v>
      </c>
    </row>
    <row r="139" spans="1:18">
      <c r="A139">
        <v>17994</v>
      </c>
      <c r="B139" t="s">
        <v>25</v>
      </c>
      <c r="C139" t="str">
        <f t="shared" si="10"/>
        <v>Single</v>
      </c>
      <c r="D139" t="s">
        <v>13</v>
      </c>
      <c r="E139" t="str">
        <f t="shared" si="11"/>
        <v>Male</v>
      </c>
      <c r="F139" s="3">
        <v>20000</v>
      </c>
      <c r="G139" s="3" t="str">
        <f t="shared" si="12"/>
        <v>Lower Class</v>
      </c>
      <c r="H139">
        <v>2</v>
      </c>
      <c r="I139" t="s">
        <v>30</v>
      </c>
      <c r="J139" t="s">
        <v>28</v>
      </c>
      <c r="K139" t="s">
        <v>17</v>
      </c>
      <c r="L139" t="str">
        <f t="shared" si="13"/>
        <v>Home Owner</v>
      </c>
      <c r="M139">
        <v>2</v>
      </c>
      <c r="N139" t="s">
        <v>18</v>
      </c>
      <c r="O139" t="s">
        <v>19</v>
      </c>
      <c r="P139">
        <v>42</v>
      </c>
      <c r="Q139" t="str">
        <f t="shared" si="14"/>
        <v>35 to 44 yrs</v>
      </c>
      <c r="R139" t="s">
        <v>20</v>
      </c>
    </row>
    <row r="140" spans="1:18">
      <c r="A140">
        <v>24273</v>
      </c>
      <c r="B140" t="s">
        <v>13</v>
      </c>
      <c r="C140" t="str">
        <f t="shared" si="10"/>
        <v>Married</v>
      </c>
      <c r="D140" t="s">
        <v>14</v>
      </c>
      <c r="E140" t="str">
        <f t="shared" si="11"/>
        <v>Female</v>
      </c>
      <c r="F140" s="3">
        <v>20000</v>
      </c>
      <c r="G140" s="3" t="str">
        <f t="shared" si="12"/>
        <v>Lower Class</v>
      </c>
      <c r="H140">
        <v>2</v>
      </c>
      <c r="I140" t="s">
        <v>32</v>
      </c>
      <c r="J140" t="s">
        <v>22</v>
      </c>
      <c r="K140" t="s">
        <v>17</v>
      </c>
      <c r="L140" t="str">
        <f t="shared" si="13"/>
        <v>Home Owner</v>
      </c>
      <c r="M140">
        <v>2</v>
      </c>
      <c r="N140" t="s">
        <v>26</v>
      </c>
      <c r="O140" t="s">
        <v>27</v>
      </c>
      <c r="P140">
        <v>55</v>
      </c>
      <c r="Q140" t="str">
        <f t="shared" si="14"/>
        <v>55 to 64 yrs</v>
      </c>
      <c r="R140" t="s">
        <v>17</v>
      </c>
    </row>
    <row r="141" spans="1:18">
      <c r="A141">
        <v>26547</v>
      </c>
      <c r="B141" t="s">
        <v>25</v>
      </c>
      <c r="C141" t="str">
        <f t="shared" si="10"/>
        <v>Single</v>
      </c>
      <c r="D141" t="s">
        <v>14</v>
      </c>
      <c r="E141" t="str">
        <f t="shared" si="11"/>
        <v>Female</v>
      </c>
      <c r="F141" s="3">
        <v>30000</v>
      </c>
      <c r="G141" s="3" t="str">
        <f t="shared" si="12"/>
        <v>Lower Class</v>
      </c>
      <c r="H141">
        <v>2</v>
      </c>
      <c r="I141" t="s">
        <v>21</v>
      </c>
      <c r="J141" t="s">
        <v>22</v>
      </c>
      <c r="K141" t="s">
        <v>20</v>
      </c>
      <c r="L141" t="str">
        <f t="shared" si="13"/>
        <v>Tenant</v>
      </c>
      <c r="M141">
        <v>2</v>
      </c>
      <c r="N141" t="s">
        <v>26</v>
      </c>
      <c r="O141" t="s">
        <v>27</v>
      </c>
      <c r="P141">
        <v>60</v>
      </c>
      <c r="Q141" t="str">
        <f t="shared" si="14"/>
        <v>55 to 64 yrs</v>
      </c>
      <c r="R141" t="s">
        <v>17</v>
      </c>
    </row>
    <row r="142" spans="1:18">
      <c r="A142">
        <v>22500</v>
      </c>
      <c r="B142" t="s">
        <v>25</v>
      </c>
      <c r="C142" t="str">
        <f t="shared" si="10"/>
        <v>Single</v>
      </c>
      <c r="D142" t="s">
        <v>13</v>
      </c>
      <c r="E142" t="str">
        <f t="shared" si="11"/>
        <v>Male</v>
      </c>
      <c r="F142" s="3">
        <v>40000</v>
      </c>
      <c r="G142" s="3" t="str">
        <f t="shared" si="12"/>
        <v>Lower Class</v>
      </c>
      <c r="H142">
        <v>0</v>
      </c>
      <c r="I142" t="s">
        <v>15</v>
      </c>
      <c r="J142" t="s">
        <v>23</v>
      </c>
      <c r="K142" t="s">
        <v>20</v>
      </c>
      <c r="L142" t="str">
        <f t="shared" si="13"/>
        <v>Tenant</v>
      </c>
      <c r="M142">
        <v>0</v>
      </c>
      <c r="N142" t="s">
        <v>18</v>
      </c>
      <c r="O142" t="s">
        <v>19</v>
      </c>
      <c r="P142">
        <v>40</v>
      </c>
      <c r="Q142" t="str">
        <f t="shared" si="14"/>
        <v>35 to 44 yrs</v>
      </c>
      <c r="R142" t="s">
        <v>17</v>
      </c>
    </row>
    <row r="143" spans="1:18">
      <c r="A143">
        <v>23993</v>
      </c>
      <c r="B143" t="s">
        <v>25</v>
      </c>
      <c r="C143" t="str">
        <f t="shared" si="10"/>
        <v>Single</v>
      </c>
      <c r="D143" t="s">
        <v>14</v>
      </c>
      <c r="E143" t="str">
        <f t="shared" si="11"/>
        <v>Female</v>
      </c>
      <c r="F143" s="3">
        <v>10000</v>
      </c>
      <c r="G143" s="3" t="str">
        <f t="shared" si="12"/>
        <v>Lower Class</v>
      </c>
      <c r="H143">
        <v>0</v>
      </c>
      <c r="I143" t="s">
        <v>21</v>
      </c>
      <c r="J143" t="s">
        <v>28</v>
      </c>
      <c r="K143" t="s">
        <v>20</v>
      </c>
      <c r="L143" t="str">
        <f t="shared" si="13"/>
        <v>Tenant</v>
      </c>
      <c r="M143">
        <v>1</v>
      </c>
      <c r="N143" t="s">
        <v>18</v>
      </c>
      <c r="O143" t="s">
        <v>27</v>
      </c>
      <c r="P143">
        <v>26</v>
      </c>
      <c r="Q143" t="str">
        <f t="shared" si="14"/>
        <v>25 to 34 yrs</v>
      </c>
      <c r="R143" t="s">
        <v>17</v>
      </c>
    </row>
    <row r="144" spans="1:18">
      <c r="A144">
        <v>14832</v>
      </c>
      <c r="B144" t="s">
        <v>13</v>
      </c>
      <c r="C144" t="str">
        <f t="shared" si="10"/>
        <v>Married</v>
      </c>
      <c r="D144" t="s">
        <v>13</v>
      </c>
      <c r="E144" t="str">
        <f t="shared" si="11"/>
        <v>Male</v>
      </c>
      <c r="F144" s="3">
        <v>40000</v>
      </c>
      <c r="G144" s="3" t="str">
        <f t="shared" si="12"/>
        <v>Lower Class</v>
      </c>
      <c r="H144">
        <v>1</v>
      </c>
      <c r="I144" t="s">
        <v>15</v>
      </c>
      <c r="J144" t="s">
        <v>16</v>
      </c>
      <c r="K144" t="s">
        <v>17</v>
      </c>
      <c r="L144" t="str">
        <f t="shared" si="13"/>
        <v>Home Owner</v>
      </c>
      <c r="M144">
        <v>0</v>
      </c>
      <c r="N144" t="s">
        <v>18</v>
      </c>
      <c r="O144" t="s">
        <v>19</v>
      </c>
      <c r="P144">
        <v>42</v>
      </c>
      <c r="Q144" t="str">
        <f t="shared" si="14"/>
        <v>35 to 44 yrs</v>
      </c>
      <c r="R144" t="s">
        <v>17</v>
      </c>
    </row>
    <row r="145" spans="1:18">
      <c r="A145">
        <v>16614</v>
      </c>
      <c r="B145" t="s">
        <v>13</v>
      </c>
      <c r="C145" t="str">
        <f t="shared" si="10"/>
        <v>Married</v>
      </c>
      <c r="D145" t="s">
        <v>14</v>
      </c>
      <c r="E145" t="str">
        <f t="shared" si="11"/>
        <v>Female</v>
      </c>
      <c r="F145" s="3">
        <v>80000</v>
      </c>
      <c r="G145" s="3" t="str">
        <f t="shared" si="12"/>
        <v>Middle Class</v>
      </c>
      <c r="H145">
        <v>0</v>
      </c>
      <c r="I145" t="s">
        <v>15</v>
      </c>
      <c r="J145" t="s">
        <v>23</v>
      </c>
      <c r="K145" t="s">
        <v>17</v>
      </c>
      <c r="L145" t="str">
        <f t="shared" si="13"/>
        <v>Home Owner</v>
      </c>
      <c r="M145">
        <v>3</v>
      </c>
      <c r="N145" t="s">
        <v>33</v>
      </c>
      <c r="O145" t="s">
        <v>27</v>
      </c>
      <c r="P145">
        <v>32</v>
      </c>
      <c r="Q145" t="str">
        <f t="shared" si="14"/>
        <v>25 to 34 yrs</v>
      </c>
      <c r="R145" t="s">
        <v>20</v>
      </c>
    </row>
    <row r="146" spans="1:18">
      <c r="A146">
        <v>20877</v>
      </c>
      <c r="B146" t="s">
        <v>25</v>
      </c>
      <c r="C146" t="str">
        <f t="shared" si="10"/>
        <v>Single</v>
      </c>
      <c r="D146" t="s">
        <v>13</v>
      </c>
      <c r="E146" t="str">
        <f t="shared" si="11"/>
        <v>Male</v>
      </c>
      <c r="F146" s="3">
        <v>30000</v>
      </c>
      <c r="G146" s="3" t="str">
        <f t="shared" si="12"/>
        <v>Lower Class</v>
      </c>
      <c r="H146">
        <v>1</v>
      </c>
      <c r="I146" t="s">
        <v>15</v>
      </c>
      <c r="J146" t="s">
        <v>22</v>
      </c>
      <c r="K146" t="s">
        <v>17</v>
      </c>
      <c r="L146" t="str">
        <f t="shared" si="13"/>
        <v>Home Owner</v>
      </c>
      <c r="M146">
        <v>0</v>
      </c>
      <c r="N146" t="s">
        <v>29</v>
      </c>
      <c r="O146" t="s">
        <v>19</v>
      </c>
      <c r="P146">
        <v>37</v>
      </c>
      <c r="Q146" t="str">
        <f t="shared" si="14"/>
        <v>35 to 44 yrs</v>
      </c>
      <c r="R146" t="s">
        <v>17</v>
      </c>
    </row>
    <row r="147" spans="1:18">
      <c r="A147">
        <v>20729</v>
      </c>
      <c r="B147" t="s">
        <v>13</v>
      </c>
      <c r="C147" t="str">
        <f t="shared" si="10"/>
        <v>Married</v>
      </c>
      <c r="D147" t="s">
        <v>14</v>
      </c>
      <c r="E147" t="str">
        <f t="shared" si="11"/>
        <v>Female</v>
      </c>
      <c r="F147" s="3">
        <v>40000</v>
      </c>
      <c r="G147" s="3" t="str">
        <f t="shared" si="12"/>
        <v>Lower Class</v>
      </c>
      <c r="H147">
        <v>2</v>
      </c>
      <c r="I147" t="s">
        <v>21</v>
      </c>
      <c r="J147" t="s">
        <v>22</v>
      </c>
      <c r="K147" t="s">
        <v>20</v>
      </c>
      <c r="L147" t="str">
        <f t="shared" si="13"/>
        <v>Tenant</v>
      </c>
      <c r="M147">
        <v>1</v>
      </c>
      <c r="N147" t="s">
        <v>18</v>
      </c>
      <c r="O147" t="s">
        <v>19</v>
      </c>
      <c r="P147">
        <v>34</v>
      </c>
      <c r="Q147" t="str">
        <f t="shared" si="14"/>
        <v>25 to 34 yrs</v>
      </c>
      <c r="R147" t="s">
        <v>20</v>
      </c>
    </row>
    <row r="148" spans="1:18">
      <c r="A148">
        <v>22464</v>
      </c>
      <c r="B148" t="s">
        <v>13</v>
      </c>
      <c r="C148" t="str">
        <f t="shared" si="10"/>
        <v>Married</v>
      </c>
      <c r="D148" t="s">
        <v>13</v>
      </c>
      <c r="E148" t="str">
        <f t="shared" si="11"/>
        <v>Male</v>
      </c>
      <c r="F148" s="3">
        <v>40000</v>
      </c>
      <c r="G148" s="3" t="str">
        <f t="shared" si="12"/>
        <v>Lower Class</v>
      </c>
      <c r="H148">
        <v>0</v>
      </c>
      <c r="I148" t="s">
        <v>34</v>
      </c>
      <c r="J148" t="s">
        <v>22</v>
      </c>
      <c r="K148" t="s">
        <v>17</v>
      </c>
      <c r="L148" t="str">
        <f t="shared" si="13"/>
        <v>Home Owner</v>
      </c>
      <c r="M148">
        <v>0</v>
      </c>
      <c r="N148" t="s">
        <v>18</v>
      </c>
      <c r="O148" t="s">
        <v>19</v>
      </c>
      <c r="P148">
        <v>37</v>
      </c>
      <c r="Q148" t="str">
        <f t="shared" si="14"/>
        <v>35 to 44 yrs</v>
      </c>
      <c r="R148" t="s">
        <v>17</v>
      </c>
    </row>
    <row r="149" spans="1:18">
      <c r="A149">
        <v>19475</v>
      </c>
      <c r="B149" t="s">
        <v>13</v>
      </c>
      <c r="C149" t="str">
        <f t="shared" si="10"/>
        <v>Married</v>
      </c>
      <c r="D149" t="s">
        <v>14</v>
      </c>
      <c r="E149" t="str">
        <f t="shared" si="11"/>
        <v>Female</v>
      </c>
      <c r="F149" s="3">
        <v>40000</v>
      </c>
      <c r="G149" s="3" t="str">
        <f t="shared" si="12"/>
        <v>Lower Class</v>
      </c>
      <c r="H149">
        <v>0</v>
      </c>
      <c r="I149" t="s">
        <v>15</v>
      </c>
      <c r="J149" t="s">
        <v>23</v>
      </c>
      <c r="K149" t="s">
        <v>20</v>
      </c>
      <c r="L149" t="str">
        <f t="shared" si="13"/>
        <v>Tenant</v>
      </c>
      <c r="M149">
        <v>0</v>
      </c>
      <c r="N149" t="s">
        <v>18</v>
      </c>
      <c r="O149" t="s">
        <v>19</v>
      </c>
      <c r="P149">
        <v>40</v>
      </c>
      <c r="Q149" t="str">
        <f t="shared" si="14"/>
        <v>35 to 44 yrs</v>
      </c>
      <c r="R149" t="s">
        <v>17</v>
      </c>
    </row>
    <row r="150" spans="1:18">
      <c r="A150">
        <v>19675</v>
      </c>
      <c r="B150" t="s">
        <v>13</v>
      </c>
      <c r="C150" t="str">
        <f t="shared" si="10"/>
        <v>Married</v>
      </c>
      <c r="D150" t="s">
        <v>13</v>
      </c>
      <c r="E150" t="str">
        <f t="shared" si="11"/>
        <v>Male</v>
      </c>
      <c r="F150" s="3">
        <v>20000</v>
      </c>
      <c r="G150" s="3" t="str">
        <f t="shared" si="12"/>
        <v>Lower Class</v>
      </c>
      <c r="H150">
        <v>4</v>
      </c>
      <c r="I150" t="s">
        <v>30</v>
      </c>
      <c r="J150" t="s">
        <v>16</v>
      </c>
      <c r="K150" t="s">
        <v>17</v>
      </c>
      <c r="L150" t="str">
        <f t="shared" si="13"/>
        <v>Home Owner</v>
      </c>
      <c r="M150">
        <v>2</v>
      </c>
      <c r="N150" t="s">
        <v>26</v>
      </c>
      <c r="O150" t="s">
        <v>27</v>
      </c>
      <c r="P150">
        <v>60</v>
      </c>
      <c r="Q150" t="str">
        <f t="shared" si="14"/>
        <v>55 to 64 yrs</v>
      </c>
      <c r="R150" t="s">
        <v>20</v>
      </c>
    </row>
    <row r="151" spans="1:18">
      <c r="A151">
        <v>12728</v>
      </c>
      <c r="B151" t="s">
        <v>25</v>
      </c>
      <c r="C151" t="str">
        <f t="shared" si="10"/>
        <v>Single</v>
      </c>
      <c r="D151" t="s">
        <v>13</v>
      </c>
      <c r="E151" t="str">
        <f t="shared" si="11"/>
        <v>Male</v>
      </c>
      <c r="F151" s="3">
        <v>30000</v>
      </c>
      <c r="G151" s="3" t="str">
        <f t="shared" si="12"/>
        <v>Lower Class</v>
      </c>
      <c r="H151">
        <v>0</v>
      </c>
      <c r="I151" t="s">
        <v>21</v>
      </c>
      <c r="J151" t="s">
        <v>22</v>
      </c>
      <c r="K151" t="s">
        <v>20</v>
      </c>
      <c r="L151" t="str">
        <f t="shared" si="13"/>
        <v>Tenant</v>
      </c>
      <c r="M151">
        <v>1</v>
      </c>
      <c r="N151" t="s">
        <v>29</v>
      </c>
      <c r="O151" t="s">
        <v>19</v>
      </c>
      <c r="P151">
        <v>27</v>
      </c>
      <c r="Q151" t="str">
        <f t="shared" si="14"/>
        <v>25 to 34 yrs</v>
      </c>
      <c r="R151" t="s">
        <v>20</v>
      </c>
    </row>
    <row r="152" spans="1:18">
      <c r="A152">
        <v>26154</v>
      </c>
      <c r="B152" t="s">
        <v>13</v>
      </c>
      <c r="C152" t="str">
        <f t="shared" si="10"/>
        <v>Married</v>
      </c>
      <c r="D152" t="s">
        <v>13</v>
      </c>
      <c r="E152" t="str">
        <f t="shared" si="11"/>
        <v>Male</v>
      </c>
      <c r="F152" s="3">
        <v>60000</v>
      </c>
      <c r="G152" s="3" t="str">
        <f t="shared" si="12"/>
        <v>Middle Class</v>
      </c>
      <c r="H152">
        <v>1</v>
      </c>
      <c r="I152" t="s">
        <v>21</v>
      </c>
      <c r="J152" t="s">
        <v>16</v>
      </c>
      <c r="K152" t="s">
        <v>17</v>
      </c>
      <c r="L152" t="str">
        <f t="shared" si="13"/>
        <v>Home Owner</v>
      </c>
      <c r="M152">
        <v>1</v>
      </c>
      <c r="N152" t="s">
        <v>26</v>
      </c>
      <c r="O152" t="s">
        <v>27</v>
      </c>
      <c r="P152">
        <v>43</v>
      </c>
      <c r="Q152" t="str">
        <f t="shared" si="14"/>
        <v>35 to 44 yrs</v>
      </c>
      <c r="R152" t="s">
        <v>17</v>
      </c>
    </row>
    <row r="153" spans="1:18">
      <c r="A153">
        <v>29117</v>
      </c>
      <c r="B153" t="s">
        <v>25</v>
      </c>
      <c r="C153" t="str">
        <f t="shared" si="10"/>
        <v>Single</v>
      </c>
      <c r="D153" t="s">
        <v>13</v>
      </c>
      <c r="E153" t="str">
        <f t="shared" si="11"/>
        <v>Male</v>
      </c>
      <c r="F153" s="3">
        <v>100000</v>
      </c>
      <c r="G153" s="3" t="str">
        <f t="shared" si="12"/>
        <v>Middle Class</v>
      </c>
      <c r="H153">
        <v>1</v>
      </c>
      <c r="I153" t="s">
        <v>15</v>
      </c>
      <c r="J153" t="s">
        <v>31</v>
      </c>
      <c r="K153" t="s">
        <v>20</v>
      </c>
      <c r="L153" t="str">
        <f t="shared" si="13"/>
        <v>Tenant</v>
      </c>
      <c r="M153">
        <v>3</v>
      </c>
      <c r="N153" t="s">
        <v>18</v>
      </c>
      <c r="O153" t="s">
        <v>27</v>
      </c>
      <c r="P153">
        <v>48</v>
      </c>
      <c r="Q153" t="str">
        <f t="shared" si="14"/>
        <v>45 to 54 yrs</v>
      </c>
      <c r="R153" t="s">
        <v>20</v>
      </c>
    </row>
    <row r="154" spans="1:18">
      <c r="A154">
        <v>17845</v>
      </c>
      <c r="B154" t="s">
        <v>25</v>
      </c>
      <c r="C154" t="str">
        <f t="shared" si="10"/>
        <v>Single</v>
      </c>
      <c r="D154" t="s">
        <v>14</v>
      </c>
      <c r="E154" t="str">
        <f t="shared" si="11"/>
        <v>Female</v>
      </c>
      <c r="F154" s="3">
        <v>20000</v>
      </c>
      <c r="G154" s="3" t="str">
        <f t="shared" si="12"/>
        <v>Lower Class</v>
      </c>
      <c r="H154">
        <v>0</v>
      </c>
      <c r="I154" t="s">
        <v>32</v>
      </c>
      <c r="J154" t="s">
        <v>28</v>
      </c>
      <c r="K154" t="s">
        <v>20</v>
      </c>
      <c r="L154" t="str">
        <f t="shared" si="13"/>
        <v>Tenant</v>
      </c>
      <c r="M154">
        <v>2</v>
      </c>
      <c r="N154" t="s">
        <v>29</v>
      </c>
      <c r="O154" t="s">
        <v>19</v>
      </c>
      <c r="P154">
        <v>32</v>
      </c>
      <c r="Q154" t="str">
        <f t="shared" si="14"/>
        <v>25 to 34 yrs</v>
      </c>
      <c r="R154" t="s">
        <v>20</v>
      </c>
    </row>
    <row r="155" spans="1:18">
      <c r="A155">
        <v>25058</v>
      </c>
      <c r="B155" t="s">
        <v>13</v>
      </c>
      <c r="C155" t="str">
        <f t="shared" si="10"/>
        <v>Married</v>
      </c>
      <c r="D155" t="s">
        <v>13</v>
      </c>
      <c r="E155" t="str">
        <f t="shared" si="11"/>
        <v>Male</v>
      </c>
      <c r="F155" s="3">
        <v>100000</v>
      </c>
      <c r="G155" s="3" t="str">
        <f t="shared" si="12"/>
        <v>Middle Class</v>
      </c>
      <c r="H155">
        <v>1</v>
      </c>
      <c r="I155" t="s">
        <v>15</v>
      </c>
      <c r="J155" t="s">
        <v>31</v>
      </c>
      <c r="K155" t="s">
        <v>17</v>
      </c>
      <c r="L155" t="str">
        <f t="shared" si="13"/>
        <v>Home Owner</v>
      </c>
      <c r="M155">
        <v>3</v>
      </c>
      <c r="N155" t="s">
        <v>24</v>
      </c>
      <c r="O155" t="s">
        <v>27</v>
      </c>
      <c r="P155">
        <v>47</v>
      </c>
      <c r="Q155" t="str">
        <f t="shared" si="14"/>
        <v>45 to 54 yrs</v>
      </c>
      <c r="R155" t="s">
        <v>20</v>
      </c>
    </row>
    <row r="156" spans="1:18">
      <c r="A156">
        <v>23426</v>
      </c>
      <c r="B156" t="s">
        <v>25</v>
      </c>
      <c r="C156" t="str">
        <f t="shared" si="10"/>
        <v>Single</v>
      </c>
      <c r="D156" t="s">
        <v>13</v>
      </c>
      <c r="E156" t="str">
        <f t="shared" si="11"/>
        <v>Male</v>
      </c>
      <c r="F156" s="3">
        <v>80000</v>
      </c>
      <c r="G156" s="3" t="str">
        <f t="shared" si="12"/>
        <v>Middle Class</v>
      </c>
      <c r="H156">
        <v>5</v>
      </c>
      <c r="I156" t="s">
        <v>34</v>
      </c>
      <c r="J156" t="s">
        <v>31</v>
      </c>
      <c r="K156" t="s">
        <v>17</v>
      </c>
      <c r="L156" t="str">
        <f t="shared" si="13"/>
        <v>Home Owner</v>
      </c>
      <c r="M156">
        <v>3</v>
      </c>
      <c r="N156" t="s">
        <v>18</v>
      </c>
      <c r="O156" t="s">
        <v>27</v>
      </c>
      <c r="P156">
        <v>40</v>
      </c>
      <c r="Q156" t="str">
        <f t="shared" si="14"/>
        <v>35 to 44 yrs</v>
      </c>
      <c r="R156" t="s">
        <v>20</v>
      </c>
    </row>
    <row r="157" spans="1:18">
      <c r="A157">
        <v>14798</v>
      </c>
      <c r="B157" t="s">
        <v>25</v>
      </c>
      <c r="C157" t="str">
        <f t="shared" si="10"/>
        <v>Single</v>
      </c>
      <c r="D157" t="s">
        <v>14</v>
      </c>
      <c r="E157" t="str">
        <f t="shared" si="11"/>
        <v>Female</v>
      </c>
      <c r="F157" s="3">
        <v>10000</v>
      </c>
      <c r="G157" s="3" t="str">
        <f t="shared" si="12"/>
        <v>Lower Class</v>
      </c>
      <c r="H157">
        <v>4</v>
      </c>
      <c r="I157" t="s">
        <v>32</v>
      </c>
      <c r="J157" t="s">
        <v>28</v>
      </c>
      <c r="K157" t="s">
        <v>17</v>
      </c>
      <c r="L157" t="str">
        <f t="shared" si="13"/>
        <v>Home Owner</v>
      </c>
      <c r="M157">
        <v>2</v>
      </c>
      <c r="N157" t="s">
        <v>18</v>
      </c>
      <c r="O157" t="s">
        <v>19</v>
      </c>
      <c r="P157">
        <v>41</v>
      </c>
      <c r="Q157" t="str">
        <f t="shared" si="14"/>
        <v>35 to 44 yrs</v>
      </c>
      <c r="R157" t="s">
        <v>17</v>
      </c>
    </row>
    <row r="158" spans="1:18">
      <c r="A158">
        <v>12664</v>
      </c>
      <c r="B158" t="s">
        <v>13</v>
      </c>
      <c r="C158" t="str">
        <f t="shared" si="10"/>
        <v>Married</v>
      </c>
      <c r="D158" t="s">
        <v>14</v>
      </c>
      <c r="E158" t="str">
        <f t="shared" si="11"/>
        <v>Female</v>
      </c>
      <c r="F158" s="3">
        <v>130000</v>
      </c>
      <c r="G158" s="3" t="str">
        <f t="shared" si="12"/>
        <v>Upper Middle Class</v>
      </c>
      <c r="H158">
        <v>5</v>
      </c>
      <c r="I158" t="s">
        <v>21</v>
      </c>
      <c r="J158" t="s">
        <v>23</v>
      </c>
      <c r="K158" t="s">
        <v>17</v>
      </c>
      <c r="L158" t="str">
        <f t="shared" si="13"/>
        <v>Home Owner</v>
      </c>
      <c r="M158">
        <v>4</v>
      </c>
      <c r="N158" t="s">
        <v>18</v>
      </c>
      <c r="O158" t="s">
        <v>19</v>
      </c>
      <c r="P158">
        <v>59</v>
      </c>
      <c r="Q158" t="str">
        <f t="shared" si="14"/>
        <v>55 to 64 yrs</v>
      </c>
      <c r="R158" t="s">
        <v>20</v>
      </c>
    </row>
    <row r="159" spans="1:18">
      <c r="A159">
        <v>23979</v>
      </c>
      <c r="B159" t="s">
        <v>25</v>
      </c>
      <c r="C159" t="str">
        <f t="shared" si="10"/>
        <v>Single</v>
      </c>
      <c r="D159" t="s">
        <v>13</v>
      </c>
      <c r="E159" t="str">
        <f t="shared" si="11"/>
        <v>Male</v>
      </c>
      <c r="F159" s="3">
        <v>10000</v>
      </c>
      <c r="G159" s="3" t="str">
        <f t="shared" si="12"/>
        <v>Lower Class</v>
      </c>
      <c r="H159">
        <v>2</v>
      </c>
      <c r="I159" t="s">
        <v>21</v>
      </c>
      <c r="J159" t="s">
        <v>28</v>
      </c>
      <c r="K159" t="s">
        <v>20</v>
      </c>
      <c r="L159" t="str">
        <f t="shared" si="13"/>
        <v>Tenant</v>
      </c>
      <c r="M159">
        <v>0</v>
      </c>
      <c r="N159" t="s">
        <v>18</v>
      </c>
      <c r="O159" t="s">
        <v>19</v>
      </c>
      <c r="P159">
        <v>50</v>
      </c>
      <c r="Q159" t="str">
        <f t="shared" si="14"/>
        <v>45 to 54 yrs</v>
      </c>
      <c r="R159" t="s">
        <v>20</v>
      </c>
    </row>
    <row r="160" spans="1:18">
      <c r="A160">
        <v>25605</v>
      </c>
      <c r="B160" t="s">
        <v>25</v>
      </c>
      <c r="C160" t="str">
        <f t="shared" si="10"/>
        <v>Single</v>
      </c>
      <c r="D160" t="s">
        <v>14</v>
      </c>
      <c r="E160" t="str">
        <f t="shared" si="11"/>
        <v>Female</v>
      </c>
      <c r="F160" s="3">
        <v>20000</v>
      </c>
      <c r="G160" s="3" t="str">
        <f t="shared" si="12"/>
        <v>Lower Class</v>
      </c>
      <c r="H160">
        <v>2</v>
      </c>
      <c r="I160" t="s">
        <v>21</v>
      </c>
      <c r="J160" t="s">
        <v>28</v>
      </c>
      <c r="K160" t="s">
        <v>20</v>
      </c>
      <c r="L160" t="str">
        <f t="shared" si="13"/>
        <v>Tenant</v>
      </c>
      <c r="M160">
        <v>1</v>
      </c>
      <c r="N160" t="s">
        <v>18</v>
      </c>
      <c r="O160" t="s">
        <v>19</v>
      </c>
      <c r="P160">
        <v>54</v>
      </c>
      <c r="Q160" t="str">
        <f t="shared" si="14"/>
        <v>45 to 54 yrs</v>
      </c>
      <c r="R160" t="s">
        <v>17</v>
      </c>
    </row>
    <row r="161" spans="1:18">
      <c r="A161">
        <v>20797</v>
      </c>
      <c r="B161" t="s">
        <v>13</v>
      </c>
      <c r="C161" t="str">
        <f t="shared" si="10"/>
        <v>Married</v>
      </c>
      <c r="D161" t="s">
        <v>14</v>
      </c>
      <c r="E161" t="str">
        <f t="shared" si="11"/>
        <v>Female</v>
      </c>
      <c r="F161" s="3">
        <v>10000</v>
      </c>
      <c r="G161" s="3" t="str">
        <f t="shared" si="12"/>
        <v>Lower Class</v>
      </c>
      <c r="H161">
        <v>1</v>
      </c>
      <c r="I161" t="s">
        <v>15</v>
      </c>
      <c r="J161" t="s">
        <v>28</v>
      </c>
      <c r="K161" t="s">
        <v>17</v>
      </c>
      <c r="L161" t="str">
        <f t="shared" si="13"/>
        <v>Home Owner</v>
      </c>
      <c r="M161">
        <v>0</v>
      </c>
      <c r="N161" t="s">
        <v>18</v>
      </c>
      <c r="O161" t="s">
        <v>19</v>
      </c>
      <c r="P161">
        <v>48</v>
      </c>
      <c r="Q161" t="str">
        <f t="shared" si="14"/>
        <v>45 to 54 yrs</v>
      </c>
      <c r="R161" t="s">
        <v>20</v>
      </c>
    </row>
    <row r="162" spans="1:18">
      <c r="A162">
        <v>21980</v>
      </c>
      <c r="B162" t="s">
        <v>25</v>
      </c>
      <c r="C162" t="str">
        <f t="shared" si="10"/>
        <v>Single</v>
      </c>
      <c r="D162" t="s">
        <v>14</v>
      </c>
      <c r="E162" t="str">
        <f t="shared" si="11"/>
        <v>Female</v>
      </c>
      <c r="F162" s="3">
        <v>60000</v>
      </c>
      <c r="G162" s="3" t="str">
        <f t="shared" si="12"/>
        <v>Middle Class</v>
      </c>
      <c r="H162">
        <v>1</v>
      </c>
      <c r="I162" t="s">
        <v>15</v>
      </c>
      <c r="J162" t="s">
        <v>23</v>
      </c>
      <c r="K162" t="s">
        <v>17</v>
      </c>
      <c r="L162" t="str">
        <f t="shared" si="13"/>
        <v>Home Owner</v>
      </c>
      <c r="M162">
        <v>1</v>
      </c>
      <c r="N162" t="s">
        <v>26</v>
      </c>
      <c r="O162" t="s">
        <v>27</v>
      </c>
      <c r="P162">
        <v>44</v>
      </c>
      <c r="Q162" t="str">
        <f t="shared" si="14"/>
        <v>35 to 44 yrs</v>
      </c>
      <c r="R162" t="s">
        <v>17</v>
      </c>
    </row>
    <row r="163" spans="1:18">
      <c r="A163">
        <v>25460</v>
      </c>
      <c r="B163" t="s">
        <v>13</v>
      </c>
      <c r="C163" t="str">
        <f t="shared" si="10"/>
        <v>Married</v>
      </c>
      <c r="D163" t="s">
        <v>14</v>
      </c>
      <c r="E163" t="str">
        <f t="shared" si="11"/>
        <v>Female</v>
      </c>
      <c r="F163" s="3">
        <v>20000</v>
      </c>
      <c r="G163" s="3" t="str">
        <f t="shared" si="12"/>
        <v>Lower Class</v>
      </c>
      <c r="H163">
        <v>2</v>
      </c>
      <c r="I163" t="s">
        <v>30</v>
      </c>
      <c r="J163" t="s">
        <v>28</v>
      </c>
      <c r="K163" t="s">
        <v>17</v>
      </c>
      <c r="L163" t="str">
        <f t="shared" si="13"/>
        <v>Home Owner</v>
      </c>
      <c r="M163">
        <v>0</v>
      </c>
      <c r="N163" t="s">
        <v>18</v>
      </c>
      <c r="O163" t="s">
        <v>19</v>
      </c>
      <c r="P163">
        <v>40</v>
      </c>
      <c r="Q163" t="str">
        <f t="shared" si="14"/>
        <v>35 to 44 yrs</v>
      </c>
      <c r="R163" t="s">
        <v>17</v>
      </c>
    </row>
    <row r="164" spans="1:18">
      <c r="A164">
        <v>29181</v>
      </c>
      <c r="B164" t="s">
        <v>25</v>
      </c>
      <c r="C164" t="str">
        <f t="shared" si="10"/>
        <v>Single</v>
      </c>
      <c r="D164" t="s">
        <v>14</v>
      </c>
      <c r="E164" t="str">
        <f t="shared" si="11"/>
        <v>Female</v>
      </c>
      <c r="F164" s="3">
        <v>60000</v>
      </c>
      <c r="G164" s="3" t="str">
        <f t="shared" si="12"/>
        <v>Middle Class</v>
      </c>
      <c r="H164">
        <v>2</v>
      </c>
      <c r="I164" t="s">
        <v>15</v>
      </c>
      <c r="J164" t="s">
        <v>23</v>
      </c>
      <c r="K164" t="s">
        <v>20</v>
      </c>
      <c r="L164" t="str">
        <f t="shared" si="13"/>
        <v>Tenant</v>
      </c>
      <c r="M164">
        <v>1</v>
      </c>
      <c r="N164" t="s">
        <v>18</v>
      </c>
      <c r="O164" t="s">
        <v>27</v>
      </c>
      <c r="P164">
        <v>38</v>
      </c>
      <c r="Q164" t="str">
        <f t="shared" si="14"/>
        <v>35 to 44 yrs</v>
      </c>
      <c r="R164" t="s">
        <v>17</v>
      </c>
    </row>
    <row r="165" spans="1:18">
      <c r="A165">
        <v>24279</v>
      </c>
      <c r="B165" t="s">
        <v>25</v>
      </c>
      <c r="C165" t="str">
        <f t="shared" si="10"/>
        <v>Single</v>
      </c>
      <c r="D165" t="s">
        <v>13</v>
      </c>
      <c r="E165" t="str">
        <f t="shared" si="11"/>
        <v>Male</v>
      </c>
      <c r="F165" s="3">
        <v>40000</v>
      </c>
      <c r="G165" s="3" t="str">
        <f t="shared" si="12"/>
        <v>Lower Class</v>
      </c>
      <c r="H165">
        <v>2</v>
      </c>
      <c r="I165" t="s">
        <v>21</v>
      </c>
      <c r="J165" t="s">
        <v>16</v>
      </c>
      <c r="K165" t="s">
        <v>20</v>
      </c>
      <c r="L165" t="str">
        <f t="shared" si="13"/>
        <v>Tenant</v>
      </c>
      <c r="M165">
        <v>2</v>
      </c>
      <c r="N165" t="s">
        <v>29</v>
      </c>
      <c r="O165" t="s">
        <v>27</v>
      </c>
      <c r="P165">
        <v>52</v>
      </c>
      <c r="Q165" t="str">
        <f t="shared" si="14"/>
        <v>45 to 54 yrs</v>
      </c>
      <c r="R165" t="s">
        <v>20</v>
      </c>
    </row>
    <row r="166" spans="1:18">
      <c r="A166">
        <v>22402</v>
      </c>
      <c r="B166" t="s">
        <v>13</v>
      </c>
      <c r="C166" t="str">
        <f t="shared" si="10"/>
        <v>Married</v>
      </c>
      <c r="D166" t="s">
        <v>13</v>
      </c>
      <c r="E166" t="str">
        <f t="shared" si="11"/>
        <v>Male</v>
      </c>
      <c r="F166" s="3">
        <v>10000</v>
      </c>
      <c r="G166" s="3" t="str">
        <f t="shared" si="12"/>
        <v>Lower Class</v>
      </c>
      <c r="H166">
        <v>0</v>
      </c>
      <c r="I166" t="s">
        <v>21</v>
      </c>
      <c r="J166" t="s">
        <v>28</v>
      </c>
      <c r="K166" t="s">
        <v>17</v>
      </c>
      <c r="L166" t="str">
        <f t="shared" si="13"/>
        <v>Home Owner</v>
      </c>
      <c r="M166">
        <v>1</v>
      </c>
      <c r="N166" t="s">
        <v>24</v>
      </c>
      <c r="O166" t="s">
        <v>27</v>
      </c>
      <c r="P166">
        <v>25</v>
      </c>
      <c r="Q166" t="str">
        <f t="shared" si="14"/>
        <v>25 to 34 yrs</v>
      </c>
      <c r="R166" t="s">
        <v>17</v>
      </c>
    </row>
    <row r="167" spans="1:18">
      <c r="A167">
        <v>15465</v>
      </c>
      <c r="B167" t="s">
        <v>13</v>
      </c>
      <c r="C167" t="str">
        <f t="shared" si="10"/>
        <v>Married</v>
      </c>
      <c r="D167" t="s">
        <v>14</v>
      </c>
      <c r="E167" t="str">
        <f t="shared" si="11"/>
        <v>Female</v>
      </c>
      <c r="F167" s="3">
        <v>10000</v>
      </c>
      <c r="G167" s="3" t="str">
        <f t="shared" si="12"/>
        <v>Lower Class</v>
      </c>
      <c r="H167">
        <v>0</v>
      </c>
      <c r="I167" t="s">
        <v>21</v>
      </c>
      <c r="J167" t="s">
        <v>28</v>
      </c>
      <c r="K167" t="s">
        <v>20</v>
      </c>
      <c r="L167" t="str">
        <f t="shared" si="13"/>
        <v>Tenant</v>
      </c>
      <c r="M167">
        <v>1</v>
      </c>
      <c r="N167" t="s">
        <v>18</v>
      </c>
      <c r="O167" t="s">
        <v>27</v>
      </c>
      <c r="P167">
        <v>25</v>
      </c>
      <c r="Q167" t="str">
        <f t="shared" si="14"/>
        <v>25 to 34 yrs</v>
      </c>
      <c r="R167" t="s">
        <v>20</v>
      </c>
    </row>
    <row r="168" spans="1:18">
      <c r="A168">
        <v>26757</v>
      </c>
      <c r="B168" t="s">
        <v>25</v>
      </c>
      <c r="C168" t="str">
        <f t="shared" si="10"/>
        <v>Single</v>
      </c>
      <c r="D168" t="s">
        <v>13</v>
      </c>
      <c r="E168" t="str">
        <f t="shared" si="11"/>
        <v>Male</v>
      </c>
      <c r="F168" s="3">
        <v>90000</v>
      </c>
      <c r="G168" s="3" t="str">
        <f t="shared" si="12"/>
        <v>Middle Class</v>
      </c>
      <c r="H168">
        <v>1</v>
      </c>
      <c r="I168" t="s">
        <v>15</v>
      </c>
      <c r="J168" t="s">
        <v>23</v>
      </c>
      <c r="K168" t="s">
        <v>17</v>
      </c>
      <c r="L168" t="str">
        <f t="shared" si="13"/>
        <v>Home Owner</v>
      </c>
      <c r="M168">
        <v>1</v>
      </c>
      <c r="N168" t="s">
        <v>24</v>
      </c>
      <c r="O168" t="s">
        <v>27</v>
      </c>
      <c r="P168">
        <v>47</v>
      </c>
      <c r="Q168" t="str">
        <f t="shared" si="14"/>
        <v>45 to 54 yrs</v>
      </c>
      <c r="R168" t="s">
        <v>17</v>
      </c>
    </row>
    <row r="169" spans="1:18">
      <c r="A169">
        <v>14233</v>
      </c>
      <c r="B169" t="s">
        <v>25</v>
      </c>
      <c r="C169" t="str">
        <f t="shared" si="10"/>
        <v>Single</v>
      </c>
      <c r="D169" t="s">
        <v>13</v>
      </c>
      <c r="E169" t="str">
        <f t="shared" si="11"/>
        <v>Male</v>
      </c>
      <c r="F169" s="3">
        <v>100000</v>
      </c>
      <c r="G169" s="3" t="str">
        <f t="shared" si="12"/>
        <v>Middle Class</v>
      </c>
      <c r="H169">
        <v>0</v>
      </c>
      <c r="I169" t="s">
        <v>30</v>
      </c>
      <c r="J169" t="s">
        <v>31</v>
      </c>
      <c r="K169" t="s">
        <v>17</v>
      </c>
      <c r="L169" t="str">
        <f t="shared" si="13"/>
        <v>Home Owner</v>
      </c>
      <c r="M169">
        <v>3</v>
      </c>
      <c r="N169" t="s">
        <v>33</v>
      </c>
      <c r="O169" t="s">
        <v>27</v>
      </c>
      <c r="P169">
        <v>35</v>
      </c>
      <c r="Q169" t="str">
        <f t="shared" si="14"/>
        <v>35 to 44 yrs</v>
      </c>
      <c r="R169" t="s">
        <v>20</v>
      </c>
    </row>
    <row r="170" spans="1:18">
      <c r="A170">
        <v>14058</v>
      </c>
      <c r="B170" t="s">
        <v>25</v>
      </c>
      <c r="C170" t="str">
        <f t="shared" si="10"/>
        <v>Single</v>
      </c>
      <c r="D170" t="s">
        <v>13</v>
      </c>
      <c r="E170" t="str">
        <f t="shared" si="11"/>
        <v>Male</v>
      </c>
      <c r="F170" s="3">
        <v>70000</v>
      </c>
      <c r="G170" s="3" t="str">
        <f t="shared" si="12"/>
        <v>Middle Class</v>
      </c>
      <c r="H170">
        <v>0</v>
      </c>
      <c r="I170" t="s">
        <v>15</v>
      </c>
      <c r="J170" t="s">
        <v>23</v>
      </c>
      <c r="K170" t="s">
        <v>20</v>
      </c>
      <c r="L170" t="str">
        <f t="shared" si="13"/>
        <v>Tenant</v>
      </c>
      <c r="M170">
        <v>1</v>
      </c>
      <c r="N170" t="s">
        <v>26</v>
      </c>
      <c r="O170" t="s">
        <v>27</v>
      </c>
      <c r="P170">
        <v>41</v>
      </c>
      <c r="Q170" t="str">
        <f t="shared" si="14"/>
        <v>35 to 44 yrs</v>
      </c>
      <c r="R170" t="s">
        <v>17</v>
      </c>
    </row>
    <row r="171" spans="1:18">
      <c r="A171">
        <v>12273</v>
      </c>
      <c r="B171" t="s">
        <v>13</v>
      </c>
      <c r="C171" t="str">
        <f t="shared" si="10"/>
        <v>Married</v>
      </c>
      <c r="D171" t="s">
        <v>13</v>
      </c>
      <c r="E171" t="str">
        <f t="shared" si="11"/>
        <v>Male</v>
      </c>
      <c r="F171" s="3">
        <v>30000</v>
      </c>
      <c r="G171" s="3" t="str">
        <f t="shared" si="12"/>
        <v>Lower Class</v>
      </c>
      <c r="H171">
        <v>1</v>
      </c>
      <c r="I171" t="s">
        <v>15</v>
      </c>
      <c r="J171" t="s">
        <v>22</v>
      </c>
      <c r="K171" t="s">
        <v>17</v>
      </c>
      <c r="L171" t="str">
        <f t="shared" si="13"/>
        <v>Home Owner</v>
      </c>
      <c r="M171">
        <v>0</v>
      </c>
      <c r="N171" t="s">
        <v>18</v>
      </c>
      <c r="O171" t="s">
        <v>19</v>
      </c>
      <c r="P171">
        <v>47</v>
      </c>
      <c r="Q171" t="str">
        <f t="shared" si="14"/>
        <v>45 to 54 yrs</v>
      </c>
      <c r="R171" t="s">
        <v>20</v>
      </c>
    </row>
    <row r="172" spans="1:18">
      <c r="A172">
        <v>17203</v>
      </c>
      <c r="B172" t="s">
        <v>13</v>
      </c>
      <c r="C172" t="str">
        <f t="shared" si="10"/>
        <v>Married</v>
      </c>
      <c r="D172" t="s">
        <v>14</v>
      </c>
      <c r="E172" t="str">
        <f t="shared" si="11"/>
        <v>Female</v>
      </c>
      <c r="F172" s="3">
        <v>130000</v>
      </c>
      <c r="G172" s="3" t="str">
        <f t="shared" si="12"/>
        <v>Upper Middle Class</v>
      </c>
      <c r="H172">
        <v>4</v>
      </c>
      <c r="I172" t="s">
        <v>21</v>
      </c>
      <c r="J172" t="s">
        <v>23</v>
      </c>
      <c r="K172" t="s">
        <v>17</v>
      </c>
      <c r="L172" t="str">
        <f t="shared" si="13"/>
        <v>Home Owner</v>
      </c>
      <c r="M172">
        <v>4</v>
      </c>
      <c r="N172" t="s">
        <v>26</v>
      </c>
      <c r="O172" t="s">
        <v>19</v>
      </c>
      <c r="P172">
        <v>61</v>
      </c>
      <c r="Q172" t="str">
        <f t="shared" si="14"/>
        <v>55 to 64 yrs</v>
      </c>
      <c r="R172" t="s">
        <v>17</v>
      </c>
    </row>
    <row r="173" spans="1:18">
      <c r="A173">
        <v>18144</v>
      </c>
      <c r="B173" t="s">
        <v>13</v>
      </c>
      <c r="C173" t="str">
        <f t="shared" si="10"/>
        <v>Married</v>
      </c>
      <c r="D173" t="s">
        <v>14</v>
      </c>
      <c r="E173" t="str">
        <f t="shared" si="11"/>
        <v>Female</v>
      </c>
      <c r="F173" s="3">
        <v>80000</v>
      </c>
      <c r="G173" s="3" t="str">
        <f t="shared" si="12"/>
        <v>Middle Class</v>
      </c>
      <c r="H173">
        <v>5</v>
      </c>
      <c r="I173" t="s">
        <v>15</v>
      </c>
      <c r="J173" t="s">
        <v>31</v>
      </c>
      <c r="K173" t="s">
        <v>17</v>
      </c>
      <c r="L173" t="str">
        <f t="shared" si="13"/>
        <v>Home Owner</v>
      </c>
      <c r="M173">
        <v>2</v>
      </c>
      <c r="N173" t="s">
        <v>24</v>
      </c>
      <c r="O173" t="s">
        <v>19</v>
      </c>
      <c r="P173">
        <v>61</v>
      </c>
      <c r="Q173" t="str">
        <f t="shared" si="14"/>
        <v>55 to 64 yrs</v>
      </c>
      <c r="R173" t="s">
        <v>20</v>
      </c>
    </row>
    <row r="174" spans="1:18">
      <c r="A174">
        <v>23963</v>
      </c>
      <c r="B174" t="s">
        <v>13</v>
      </c>
      <c r="C174" t="str">
        <f t="shared" si="10"/>
        <v>Married</v>
      </c>
      <c r="D174" t="s">
        <v>13</v>
      </c>
      <c r="E174" t="str">
        <f t="shared" si="11"/>
        <v>Male</v>
      </c>
      <c r="F174" s="3">
        <v>10000</v>
      </c>
      <c r="G174" s="3" t="str">
        <f t="shared" si="12"/>
        <v>Lower Class</v>
      </c>
      <c r="H174">
        <v>0</v>
      </c>
      <c r="I174" t="s">
        <v>32</v>
      </c>
      <c r="J174" t="s">
        <v>28</v>
      </c>
      <c r="K174" t="s">
        <v>20</v>
      </c>
      <c r="L174" t="str">
        <f t="shared" si="13"/>
        <v>Tenant</v>
      </c>
      <c r="M174">
        <v>2</v>
      </c>
      <c r="N174" t="s">
        <v>18</v>
      </c>
      <c r="O174" t="s">
        <v>19</v>
      </c>
      <c r="P174">
        <v>33</v>
      </c>
      <c r="Q174" t="str">
        <f t="shared" si="14"/>
        <v>25 to 34 yrs</v>
      </c>
      <c r="R174" t="s">
        <v>20</v>
      </c>
    </row>
    <row r="175" spans="1:18">
      <c r="A175">
        <v>17907</v>
      </c>
      <c r="B175" t="s">
        <v>13</v>
      </c>
      <c r="C175" t="str">
        <f t="shared" si="10"/>
        <v>Married</v>
      </c>
      <c r="D175" t="s">
        <v>14</v>
      </c>
      <c r="E175" t="str">
        <f t="shared" si="11"/>
        <v>Female</v>
      </c>
      <c r="F175" s="3">
        <v>10000</v>
      </c>
      <c r="G175" s="3" t="str">
        <f t="shared" si="12"/>
        <v>Lower Class</v>
      </c>
      <c r="H175">
        <v>0</v>
      </c>
      <c r="I175" t="s">
        <v>21</v>
      </c>
      <c r="J175" t="s">
        <v>28</v>
      </c>
      <c r="K175" t="s">
        <v>17</v>
      </c>
      <c r="L175" t="str">
        <f t="shared" si="13"/>
        <v>Home Owner</v>
      </c>
      <c r="M175">
        <v>1</v>
      </c>
      <c r="N175" t="s">
        <v>24</v>
      </c>
      <c r="O175" t="s">
        <v>27</v>
      </c>
      <c r="P175">
        <v>27</v>
      </c>
      <c r="Q175" t="str">
        <f t="shared" si="14"/>
        <v>25 to 34 yrs</v>
      </c>
      <c r="R175" t="s">
        <v>20</v>
      </c>
    </row>
    <row r="176" spans="1:18">
      <c r="A176">
        <v>19442</v>
      </c>
      <c r="B176" t="s">
        <v>25</v>
      </c>
      <c r="C176" t="str">
        <f t="shared" si="10"/>
        <v>Single</v>
      </c>
      <c r="D176" t="s">
        <v>13</v>
      </c>
      <c r="E176" t="str">
        <f t="shared" si="11"/>
        <v>Male</v>
      </c>
      <c r="F176" s="3">
        <v>50000</v>
      </c>
      <c r="G176" s="3" t="str">
        <f t="shared" si="12"/>
        <v>Lower Class</v>
      </c>
      <c r="H176">
        <v>0</v>
      </c>
      <c r="I176" t="s">
        <v>34</v>
      </c>
      <c r="J176" t="s">
        <v>16</v>
      </c>
      <c r="K176" t="s">
        <v>17</v>
      </c>
      <c r="L176" t="str">
        <f t="shared" si="13"/>
        <v>Home Owner</v>
      </c>
      <c r="M176">
        <v>0</v>
      </c>
      <c r="N176" t="s">
        <v>18</v>
      </c>
      <c r="O176" t="s">
        <v>19</v>
      </c>
      <c r="P176">
        <v>37</v>
      </c>
      <c r="Q176" t="str">
        <f t="shared" si="14"/>
        <v>35 to 44 yrs</v>
      </c>
      <c r="R176" t="s">
        <v>17</v>
      </c>
    </row>
    <row r="177" spans="1:18">
      <c r="A177">
        <v>17504</v>
      </c>
      <c r="B177" t="s">
        <v>25</v>
      </c>
      <c r="C177" t="str">
        <f t="shared" si="10"/>
        <v>Single</v>
      </c>
      <c r="D177" t="s">
        <v>14</v>
      </c>
      <c r="E177" t="str">
        <f t="shared" si="11"/>
        <v>Female</v>
      </c>
      <c r="F177" s="3">
        <v>80000</v>
      </c>
      <c r="G177" s="3" t="str">
        <f t="shared" si="12"/>
        <v>Middle Class</v>
      </c>
      <c r="H177">
        <v>2</v>
      </c>
      <c r="I177" t="s">
        <v>21</v>
      </c>
      <c r="J177" t="s">
        <v>16</v>
      </c>
      <c r="K177" t="s">
        <v>17</v>
      </c>
      <c r="L177" t="str">
        <f t="shared" si="13"/>
        <v>Home Owner</v>
      </c>
      <c r="M177">
        <v>2</v>
      </c>
      <c r="N177" t="s">
        <v>26</v>
      </c>
      <c r="O177" t="s">
        <v>27</v>
      </c>
      <c r="P177">
        <v>52</v>
      </c>
      <c r="Q177" t="str">
        <f t="shared" si="14"/>
        <v>45 to 54 yrs</v>
      </c>
      <c r="R177" t="s">
        <v>17</v>
      </c>
    </row>
    <row r="178" spans="1:18">
      <c r="A178">
        <v>12253</v>
      </c>
      <c r="B178" t="s">
        <v>25</v>
      </c>
      <c r="C178" t="str">
        <f t="shared" si="10"/>
        <v>Single</v>
      </c>
      <c r="D178" t="s">
        <v>14</v>
      </c>
      <c r="E178" t="str">
        <f t="shared" si="11"/>
        <v>Female</v>
      </c>
      <c r="F178" s="3">
        <v>20000</v>
      </c>
      <c r="G178" s="3" t="str">
        <f t="shared" si="12"/>
        <v>Lower Class</v>
      </c>
      <c r="H178">
        <v>0</v>
      </c>
      <c r="I178" t="s">
        <v>21</v>
      </c>
      <c r="J178" t="s">
        <v>28</v>
      </c>
      <c r="K178" t="s">
        <v>17</v>
      </c>
      <c r="L178" t="str">
        <f t="shared" si="13"/>
        <v>Home Owner</v>
      </c>
      <c r="M178">
        <v>0</v>
      </c>
      <c r="N178" t="s">
        <v>18</v>
      </c>
      <c r="O178" t="s">
        <v>27</v>
      </c>
      <c r="P178">
        <v>29</v>
      </c>
      <c r="Q178" t="str">
        <f t="shared" si="14"/>
        <v>25 to 34 yrs</v>
      </c>
      <c r="R178" t="s">
        <v>17</v>
      </c>
    </row>
    <row r="179" spans="1:18">
      <c r="A179">
        <v>27304</v>
      </c>
      <c r="B179" t="s">
        <v>25</v>
      </c>
      <c r="C179" t="str">
        <f t="shared" si="10"/>
        <v>Single</v>
      </c>
      <c r="D179" t="s">
        <v>14</v>
      </c>
      <c r="E179" t="str">
        <f t="shared" si="11"/>
        <v>Female</v>
      </c>
      <c r="F179" s="3">
        <v>110000</v>
      </c>
      <c r="G179" s="3" t="str">
        <f t="shared" si="12"/>
        <v>Middle Class</v>
      </c>
      <c r="H179">
        <v>2</v>
      </c>
      <c r="I179" t="s">
        <v>21</v>
      </c>
      <c r="J179" t="s">
        <v>23</v>
      </c>
      <c r="K179" t="s">
        <v>20</v>
      </c>
      <c r="L179" t="str">
        <f t="shared" si="13"/>
        <v>Tenant</v>
      </c>
      <c r="M179">
        <v>3</v>
      </c>
      <c r="N179" t="s">
        <v>26</v>
      </c>
      <c r="O179" t="s">
        <v>19</v>
      </c>
      <c r="P179">
        <v>48</v>
      </c>
      <c r="Q179" t="str">
        <f t="shared" si="14"/>
        <v>45 to 54 yrs</v>
      </c>
      <c r="R179" t="s">
        <v>20</v>
      </c>
    </row>
    <row r="180" spans="1:18">
      <c r="A180">
        <v>14191</v>
      </c>
      <c r="B180" t="s">
        <v>13</v>
      </c>
      <c r="C180" t="str">
        <f t="shared" si="10"/>
        <v>Married</v>
      </c>
      <c r="D180" t="s">
        <v>13</v>
      </c>
      <c r="E180" t="str">
        <f t="shared" si="11"/>
        <v>Male</v>
      </c>
      <c r="F180" s="3">
        <v>160000</v>
      </c>
      <c r="G180" s="3" t="str">
        <f t="shared" si="12"/>
        <v>Upper Middle Class</v>
      </c>
      <c r="H180">
        <v>4</v>
      </c>
      <c r="I180" t="s">
        <v>21</v>
      </c>
      <c r="J180" t="s">
        <v>23</v>
      </c>
      <c r="K180" t="s">
        <v>20</v>
      </c>
      <c r="L180" t="str">
        <f t="shared" si="13"/>
        <v>Tenant</v>
      </c>
      <c r="M180">
        <v>2</v>
      </c>
      <c r="N180" t="s">
        <v>33</v>
      </c>
      <c r="O180" t="s">
        <v>19</v>
      </c>
      <c r="P180">
        <v>55</v>
      </c>
      <c r="Q180" t="str">
        <f t="shared" si="14"/>
        <v>55 to 64 yrs</v>
      </c>
      <c r="R180" t="s">
        <v>17</v>
      </c>
    </row>
    <row r="181" spans="1:18">
      <c r="A181">
        <v>12212</v>
      </c>
      <c r="B181" t="s">
        <v>13</v>
      </c>
      <c r="C181" t="str">
        <f t="shared" si="10"/>
        <v>Married</v>
      </c>
      <c r="D181" t="s">
        <v>14</v>
      </c>
      <c r="E181" t="str">
        <f t="shared" si="11"/>
        <v>Female</v>
      </c>
      <c r="F181" s="3">
        <v>10000</v>
      </c>
      <c r="G181" s="3" t="str">
        <f t="shared" si="12"/>
        <v>Lower Class</v>
      </c>
      <c r="H181">
        <v>0</v>
      </c>
      <c r="I181" t="s">
        <v>34</v>
      </c>
      <c r="J181" t="s">
        <v>28</v>
      </c>
      <c r="K181" t="s">
        <v>17</v>
      </c>
      <c r="L181" t="str">
        <f t="shared" si="13"/>
        <v>Home Owner</v>
      </c>
      <c r="M181">
        <v>0</v>
      </c>
      <c r="N181" t="s">
        <v>18</v>
      </c>
      <c r="O181" t="s">
        <v>19</v>
      </c>
      <c r="P181">
        <v>37</v>
      </c>
      <c r="Q181" t="str">
        <f t="shared" si="14"/>
        <v>35 to 44 yrs</v>
      </c>
      <c r="R181" t="s">
        <v>17</v>
      </c>
    </row>
    <row r="182" spans="1:18">
      <c r="A182">
        <v>25529</v>
      </c>
      <c r="B182" t="s">
        <v>25</v>
      </c>
      <c r="C182" t="str">
        <f t="shared" si="10"/>
        <v>Single</v>
      </c>
      <c r="D182" t="s">
        <v>13</v>
      </c>
      <c r="E182" t="str">
        <f t="shared" si="11"/>
        <v>Male</v>
      </c>
      <c r="F182" s="3">
        <v>10000</v>
      </c>
      <c r="G182" s="3" t="str">
        <f t="shared" si="12"/>
        <v>Lower Class</v>
      </c>
      <c r="H182">
        <v>1</v>
      </c>
      <c r="I182" t="s">
        <v>34</v>
      </c>
      <c r="J182" t="s">
        <v>28</v>
      </c>
      <c r="K182" t="s">
        <v>17</v>
      </c>
      <c r="L182" t="str">
        <f t="shared" si="13"/>
        <v>Home Owner</v>
      </c>
      <c r="M182">
        <v>0</v>
      </c>
      <c r="N182" t="s">
        <v>18</v>
      </c>
      <c r="O182" t="s">
        <v>19</v>
      </c>
      <c r="P182">
        <v>44</v>
      </c>
      <c r="Q182" t="str">
        <f t="shared" si="14"/>
        <v>35 to 44 yrs</v>
      </c>
      <c r="R182" t="s">
        <v>20</v>
      </c>
    </row>
    <row r="183" spans="1:18">
      <c r="A183">
        <v>22170</v>
      </c>
      <c r="B183" t="s">
        <v>13</v>
      </c>
      <c r="C183" t="str">
        <f t="shared" si="10"/>
        <v>Married</v>
      </c>
      <c r="D183" t="s">
        <v>14</v>
      </c>
      <c r="E183" t="str">
        <f t="shared" si="11"/>
        <v>Female</v>
      </c>
      <c r="F183" s="3">
        <v>30000</v>
      </c>
      <c r="G183" s="3" t="str">
        <f t="shared" si="12"/>
        <v>Lower Class</v>
      </c>
      <c r="H183">
        <v>3</v>
      </c>
      <c r="I183" t="s">
        <v>21</v>
      </c>
      <c r="J183" t="s">
        <v>22</v>
      </c>
      <c r="K183" t="s">
        <v>20</v>
      </c>
      <c r="L183" t="str">
        <f t="shared" si="13"/>
        <v>Tenant</v>
      </c>
      <c r="M183">
        <v>2</v>
      </c>
      <c r="N183" t="s">
        <v>29</v>
      </c>
      <c r="O183" t="s">
        <v>27</v>
      </c>
      <c r="P183">
        <v>55</v>
      </c>
      <c r="Q183" t="str">
        <f t="shared" si="14"/>
        <v>55 to 64 yrs</v>
      </c>
      <c r="R183" t="s">
        <v>17</v>
      </c>
    </row>
    <row r="184" spans="1:18">
      <c r="A184">
        <v>19445</v>
      </c>
      <c r="B184" t="s">
        <v>13</v>
      </c>
      <c r="C184" t="str">
        <f t="shared" si="10"/>
        <v>Married</v>
      </c>
      <c r="D184" t="s">
        <v>14</v>
      </c>
      <c r="E184" t="str">
        <f t="shared" si="11"/>
        <v>Female</v>
      </c>
      <c r="F184" s="3">
        <v>10000</v>
      </c>
      <c r="G184" s="3" t="str">
        <f t="shared" si="12"/>
        <v>Lower Class</v>
      </c>
      <c r="H184">
        <v>2</v>
      </c>
      <c r="I184" t="s">
        <v>30</v>
      </c>
      <c r="J184" t="s">
        <v>28</v>
      </c>
      <c r="K184" t="s">
        <v>20</v>
      </c>
      <c r="L184" t="str">
        <f t="shared" si="13"/>
        <v>Tenant</v>
      </c>
      <c r="M184">
        <v>1</v>
      </c>
      <c r="N184" t="s">
        <v>18</v>
      </c>
      <c r="O184" t="s">
        <v>19</v>
      </c>
      <c r="P184">
        <v>38</v>
      </c>
      <c r="Q184" t="str">
        <f t="shared" si="14"/>
        <v>35 to 44 yrs</v>
      </c>
      <c r="R184" t="s">
        <v>20</v>
      </c>
    </row>
    <row r="185" spans="1:18">
      <c r="A185">
        <v>15265</v>
      </c>
      <c r="B185" t="s">
        <v>25</v>
      </c>
      <c r="C185" t="str">
        <f t="shared" si="10"/>
        <v>Single</v>
      </c>
      <c r="D185" t="s">
        <v>13</v>
      </c>
      <c r="E185" t="str">
        <f t="shared" si="11"/>
        <v>Male</v>
      </c>
      <c r="F185" s="3">
        <v>40000</v>
      </c>
      <c r="G185" s="3" t="str">
        <f t="shared" si="12"/>
        <v>Lower Class</v>
      </c>
      <c r="H185">
        <v>2</v>
      </c>
      <c r="I185" t="s">
        <v>15</v>
      </c>
      <c r="J185" t="s">
        <v>31</v>
      </c>
      <c r="K185" t="s">
        <v>17</v>
      </c>
      <c r="L185" t="str">
        <f t="shared" si="13"/>
        <v>Home Owner</v>
      </c>
      <c r="M185">
        <v>2</v>
      </c>
      <c r="N185" t="s">
        <v>26</v>
      </c>
      <c r="O185" t="s">
        <v>27</v>
      </c>
      <c r="P185">
        <v>66</v>
      </c>
      <c r="Q185" t="str">
        <f t="shared" si="14"/>
        <v>65 yrs &amp; Above</v>
      </c>
      <c r="R185" t="s">
        <v>17</v>
      </c>
    </row>
    <row r="186" spans="1:18">
      <c r="A186">
        <v>28918</v>
      </c>
      <c r="B186" t="s">
        <v>13</v>
      </c>
      <c r="C186" t="str">
        <f t="shared" si="10"/>
        <v>Married</v>
      </c>
      <c r="D186" t="s">
        <v>14</v>
      </c>
      <c r="E186" t="str">
        <f t="shared" si="11"/>
        <v>Female</v>
      </c>
      <c r="F186" s="3">
        <v>130000</v>
      </c>
      <c r="G186" s="3" t="str">
        <f t="shared" si="12"/>
        <v>Upper Middle Class</v>
      </c>
      <c r="H186">
        <v>4</v>
      </c>
      <c r="I186" t="s">
        <v>30</v>
      </c>
      <c r="J186" t="s">
        <v>31</v>
      </c>
      <c r="K186" t="s">
        <v>20</v>
      </c>
      <c r="L186" t="str">
        <f t="shared" si="13"/>
        <v>Tenant</v>
      </c>
      <c r="M186">
        <v>4</v>
      </c>
      <c r="N186" t="s">
        <v>33</v>
      </c>
      <c r="O186" t="s">
        <v>19</v>
      </c>
      <c r="P186">
        <v>58</v>
      </c>
      <c r="Q186" t="str">
        <f t="shared" si="14"/>
        <v>55 to 64 yrs</v>
      </c>
      <c r="R186" t="s">
        <v>20</v>
      </c>
    </row>
    <row r="187" spans="1:18">
      <c r="A187">
        <v>15799</v>
      </c>
      <c r="B187" t="s">
        <v>13</v>
      </c>
      <c r="C187" t="str">
        <f t="shared" si="10"/>
        <v>Married</v>
      </c>
      <c r="D187" t="s">
        <v>14</v>
      </c>
      <c r="E187" t="str">
        <f t="shared" si="11"/>
        <v>Female</v>
      </c>
      <c r="F187" s="3">
        <v>90000</v>
      </c>
      <c r="G187" s="3" t="str">
        <f t="shared" si="12"/>
        <v>Middle Class</v>
      </c>
      <c r="H187">
        <v>1</v>
      </c>
      <c r="I187" t="s">
        <v>15</v>
      </c>
      <c r="J187" t="s">
        <v>23</v>
      </c>
      <c r="K187" t="s">
        <v>17</v>
      </c>
      <c r="L187" t="str">
        <f t="shared" si="13"/>
        <v>Home Owner</v>
      </c>
      <c r="M187">
        <v>1</v>
      </c>
      <c r="N187" t="s">
        <v>24</v>
      </c>
      <c r="O187" t="s">
        <v>27</v>
      </c>
      <c r="P187">
        <v>47</v>
      </c>
      <c r="Q187" t="str">
        <f t="shared" si="14"/>
        <v>45 to 54 yrs</v>
      </c>
      <c r="R187" t="s">
        <v>17</v>
      </c>
    </row>
    <row r="188" spans="1:18">
      <c r="A188">
        <v>11047</v>
      </c>
      <c r="B188" t="s">
        <v>13</v>
      </c>
      <c r="C188" t="str">
        <f t="shared" si="10"/>
        <v>Married</v>
      </c>
      <c r="D188" t="s">
        <v>14</v>
      </c>
      <c r="E188" t="str">
        <f t="shared" si="11"/>
        <v>Female</v>
      </c>
      <c r="F188" s="3">
        <v>30000</v>
      </c>
      <c r="G188" s="3" t="str">
        <f t="shared" si="12"/>
        <v>Lower Class</v>
      </c>
      <c r="H188">
        <v>3</v>
      </c>
      <c r="I188" t="s">
        <v>30</v>
      </c>
      <c r="J188" t="s">
        <v>16</v>
      </c>
      <c r="K188" t="s">
        <v>20</v>
      </c>
      <c r="L188" t="str">
        <f t="shared" si="13"/>
        <v>Tenant</v>
      </c>
      <c r="M188">
        <v>2</v>
      </c>
      <c r="N188" t="s">
        <v>29</v>
      </c>
      <c r="O188" t="s">
        <v>27</v>
      </c>
      <c r="P188">
        <v>56</v>
      </c>
      <c r="Q188" t="str">
        <f t="shared" si="14"/>
        <v>55 to 64 yrs</v>
      </c>
      <c r="R188" t="s">
        <v>17</v>
      </c>
    </row>
    <row r="189" spans="1:18">
      <c r="A189">
        <v>18151</v>
      </c>
      <c r="B189" t="s">
        <v>25</v>
      </c>
      <c r="C189" t="str">
        <f t="shared" si="10"/>
        <v>Single</v>
      </c>
      <c r="D189" t="s">
        <v>13</v>
      </c>
      <c r="E189" t="str">
        <f t="shared" si="11"/>
        <v>Male</v>
      </c>
      <c r="F189" s="3">
        <v>80000</v>
      </c>
      <c r="G189" s="3" t="str">
        <f t="shared" si="12"/>
        <v>Middle Class</v>
      </c>
      <c r="H189">
        <v>5</v>
      </c>
      <c r="I189" t="s">
        <v>21</v>
      </c>
      <c r="J189" t="s">
        <v>23</v>
      </c>
      <c r="K189" t="s">
        <v>20</v>
      </c>
      <c r="L189" t="str">
        <f t="shared" si="13"/>
        <v>Tenant</v>
      </c>
      <c r="M189">
        <v>2</v>
      </c>
      <c r="N189" t="s">
        <v>33</v>
      </c>
      <c r="O189" t="s">
        <v>19</v>
      </c>
      <c r="P189">
        <v>59</v>
      </c>
      <c r="Q189" t="str">
        <f t="shared" si="14"/>
        <v>55 to 64 yrs</v>
      </c>
      <c r="R189" t="s">
        <v>20</v>
      </c>
    </row>
    <row r="190" spans="1:18">
      <c r="A190">
        <v>20606</v>
      </c>
      <c r="B190" t="s">
        <v>13</v>
      </c>
      <c r="C190" t="str">
        <f t="shared" si="10"/>
        <v>Married</v>
      </c>
      <c r="D190" t="s">
        <v>14</v>
      </c>
      <c r="E190" t="str">
        <f t="shared" si="11"/>
        <v>Female</v>
      </c>
      <c r="F190" s="3">
        <v>70000</v>
      </c>
      <c r="G190" s="3" t="str">
        <f t="shared" si="12"/>
        <v>Middle Class</v>
      </c>
      <c r="H190">
        <v>0</v>
      </c>
      <c r="I190" t="s">
        <v>15</v>
      </c>
      <c r="J190" t="s">
        <v>23</v>
      </c>
      <c r="K190" t="s">
        <v>17</v>
      </c>
      <c r="L190" t="str">
        <f t="shared" si="13"/>
        <v>Home Owner</v>
      </c>
      <c r="M190">
        <v>4</v>
      </c>
      <c r="N190" t="s">
        <v>33</v>
      </c>
      <c r="O190" t="s">
        <v>27</v>
      </c>
      <c r="P190">
        <v>32</v>
      </c>
      <c r="Q190" t="str">
        <f t="shared" si="14"/>
        <v>25 to 34 yrs</v>
      </c>
      <c r="R190" t="s">
        <v>17</v>
      </c>
    </row>
    <row r="191" spans="1:18">
      <c r="A191">
        <v>19482</v>
      </c>
      <c r="B191" t="s">
        <v>13</v>
      </c>
      <c r="C191" t="str">
        <f t="shared" si="10"/>
        <v>Married</v>
      </c>
      <c r="D191" t="s">
        <v>13</v>
      </c>
      <c r="E191" t="str">
        <f t="shared" si="11"/>
        <v>Male</v>
      </c>
      <c r="F191" s="3">
        <v>30000</v>
      </c>
      <c r="G191" s="3" t="str">
        <f t="shared" si="12"/>
        <v>Lower Class</v>
      </c>
      <c r="H191">
        <v>1</v>
      </c>
      <c r="I191" t="s">
        <v>21</v>
      </c>
      <c r="J191" t="s">
        <v>22</v>
      </c>
      <c r="K191" t="s">
        <v>17</v>
      </c>
      <c r="L191" t="str">
        <f t="shared" si="13"/>
        <v>Home Owner</v>
      </c>
      <c r="M191">
        <v>1</v>
      </c>
      <c r="N191" t="s">
        <v>18</v>
      </c>
      <c r="O191" t="s">
        <v>19</v>
      </c>
      <c r="P191">
        <v>44</v>
      </c>
      <c r="Q191" t="str">
        <f t="shared" si="14"/>
        <v>35 to 44 yrs</v>
      </c>
      <c r="R191" t="s">
        <v>17</v>
      </c>
    </row>
    <row r="192" spans="1:18">
      <c r="A192">
        <v>16489</v>
      </c>
      <c r="B192" t="s">
        <v>13</v>
      </c>
      <c r="C192" t="str">
        <f t="shared" si="10"/>
        <v>Married</v>
      </c>
      <c r="D192" t="s">
        <v>13</v>
      </c>
      <c r="E192" t="str">
        <f t="shared" si="11"/>
        <v>Male</v>
      </c>
      <c r="F192" s="3">
        <v>30000</v>
      </c>
      <c r="G192" s="3" t="str">
        <f t="shared" si="12"/>
        <v>Lower Class</v>
      </c>
      <c r="H192">
        <v>3</v>
      </c>
      <c r="I192" t="s">
        <v>30</v>
      </c>
      <c r="J192" t="s">
        <v>16</v>
      </c>
      <c r="K192" t="s">
        <v>17</v>
      </c>
      <c r="L192" t="str">
        <f t="shared" si="13"/>
        <v>Home Owner</v>
      </c>
      <c r="M192">
        <v>2</v>
      </c>
      <c r="N192" t="s">
        <v>26</v>
      </c>
      <c r="O192" t="s">
        <v>27</v>
      </c>
      <c r="P192">
        <v>55</v>
      </c>
      <c r="Q192" t="str">
        <f t="shared" si="14"/>
        <v>55 to 64 yrs</v>
      </c>
      <c r="R192" t="s">
        <v>20</v>
      </c>
    </row>
    <row r="193" spans="1:18">
      <c r="A193">
        <v>26944</v>
      </c>
      <c r="B193" t="s">
        <v>25</v>
      </c>
      <c r="C193" t="str">
        <f t="shared" si="10"/>
        <v>Single</v>
      </c>
      <c r="D193" t="s">
        <v>13</v>
      </c>
      <c r="E193" t="str">
        <f t="shared" si="11"/>
        <v>Male</v>
      </c>
      <c r="F193" s="3">
        <v>90000</v>
      </c>
      <c r="G193" s="3" t="str">
        <f t="shared" si="12"/>
        <v>Middle Class</v>
      </c>
      <c r="H193">
        <v>2</v>
      </c>
      <c r="I193" t="s">
        <v>30</v>
      </c>
      <c r="J193" t="s">
        <v>28</v>
      </c>
      <c r="K193" t="s">
        <v>17</v>
      </c>
      <c r="L193" t="str">
        <f t="shared" si="13"/>
        <v>Home Owner</v>
      </c>
      <c r="M193">
        <v>0</v>
      </c>
      <c r="N193" t="s">
        <v>18</v>
      </c>
      <c r="O193" t="s">
        <v>19</v>
      </c>
      <c r="P193">
        <v>36</v>
      </c>
      <c r="Q193" t="str">
        <f t="shared" si="14"/>
        <v>35 to 44 yrs</v>
      </c>
      <c r="R193" t="s">
        <v>17</v>
      </c>
    </row>
    <row r="194" spans="1:18">
      <c r="A194">
        <v>15682</v>
      </c>
      <c r="B194" t="s">
        <v>25</v>
      </c>
      <c r="C194" t="str">
        <f t="shared" si="10"/>
        <v>Single</v>
      </c>
      <c r="D194" t="s">
        <v>14</v>
      </c>
      <c r="E194" t="str">
        <f t="shared" si="11"/>
        <v>Female</v>
      </c>
      <c r="F194" s="3">
        <v>80000</v>
      </c>
      <c r="G194" s="3" t="str">
        <f t="shared" si="12"/>
        <v>Middle Class</v>
      </c>
      <c r="H194">
        <v>5</v>
      </c>
      <c r="I194" t="s">
        <v>15</v>
      </c>
      <c r="J194" t="s">
        <v>31</v>
      </c>
      <c r="K194" t="s">
        <v>17</v>
      </c>
      <c r="L194" t="str">
        <f t="shared" si="13"/>
        <v>Home Owner</v>
      </c>
      <c r="M194">
        <v>2</v>
      </c>
      <c r="N194" t="s">
        <v>33</v>
      </c>
      <c r="O194" t="s">
        <v>19</v>
      </c>
      <c r="P194">
        <v>62</v>
      </c>
      <c r="Q194" t="str">
        <f t="shared" si="14"/>
        <v>55 to 64 yrs</v>
      </c>
      <c r="R194" t="s">
        <v>20</v>
      </c>
    </row>
    <row r="195" spans="1:18">
      <c r="A195">
        <v>26032</v>
      </c>
      <c r="B195" t="s">
        <v>13</v>
      </c>
      <c r="C195" t="str">
        <f t="shared" ref="C195:C258" si="15">IF($B$2:$B$1001="M", "Married","Single")</f>
        <v>Married</v>
      </c>
      <c r="D195" t="s">
        <v>14</v>
      </c>
      <c r="E195" t="str">
        <f t="shared" ref="E195:E258" si="16">IF($D$2:$D$1001="F", "Female", "Male")</f>
        <v>Female</v>
      </c>
      <c r="F195" s="3">
        <v>70000</v>
      </c>
      <c r="G195" s="3" t="str">
        <f t="shared" ref="G195:G258" si="17">_xlfn.IFS(F195&lt;=57375,"Lower Class",F195&lt;=114750,"Middle Class",F195&lt;=253414,"Upper Middle Class",TRUE,"Upper Class")</f>
        <v>Middle Class</v>
      </c>
      <c r="H195">
        <v>5</v>
      </c>
      <c r="I195" t="s">
        <v>15</v>
      </c>
      <c r="J195" t="s">
        <v>23</v>
      </c>
      <c r="K195" t="s">
        <v>17</v>
      </c>
      <c r="L195" t="str">
        <f t="shared" ref="L195:L258" si="18">IF($K$2:$K$1001="Yes", "Home Owner","Tenant")</f>
        <v>Home Owner</v>
      </c>
      <c r="M195">
        <v>4</v>
      </c>
      <c r="N195" t="s">
        <v>33</v>
      </c>
      <c r="O195" t="s">
        <v>27</v>
      </c>
      <c r="P195">
        <v>41</v>
      </c>
      <c r="Q195" t="str">
        <f t="shared" ref="Q195:Q258" si="19">_xlfn.IFS(P195&lt;25,"Less than 25 yrs",P195&lt;35,"25 to 34 yrs",P195&lt;45,"35 to 44 yrs",P195&lt;55,"45 to 54 yrs",P195&lt;65,"55 to 64 yrs", TRUE, "65 yrs &amp; Above")</f>
        <v>35 to 44 yrs</v>
      </c>
      <c r="R195" t="s">
        <v>20</v>
      </c>
    </row>
    <row r="196" spans="1:18">
      <c r="A196">
        <v>17843</v>
      </c>
      <c r="B196" t="s">
        <v>25</v>
      </c>
      <c r="C196" t="str">
        <f t="shared" si="15"/>
        <v>Single</v>
      </c>
      <c r="D196" t="s">
        <v>14</v>
      </c>
      <c r="E196" t="str">
        <f t="shared" si="16"/>
        <v>Female</v>
      </c>
      <c r="F196" s="3">
        <v>10000</v>
      </c>
      <c r="G196" s="3" t="str">
        <f t="shared" si="17"/>
        <v>Lower Class</v>
      </c>
      <c r="H196">
        <v>0</v>
      </c>
      <c r="I196" t="s">
        <v>32</v>
      </c>
      <c r="J196" t="s">
        <v>28</v>
      </c>
      <c r="K196" t="s">
        <v>20</v>
      </c>
      <c r="L196" t="str">
        <f t="shared" si="18"/>
        <v>Tenant</v>
      </c>
      <c r="M196">
        <v>2</v>
      </c>
      <c r="N196" t="s">
        <v>18</v>
      </c>
      <c r="O196" t="s">
        <v>19</v>
      </c>
      <c r="P196">
        <v>32</v>
      </c>
      <c r="Q196" t="str">
        <f t="shared" si="19"/>
        <v>25 to 34 yrs</v>
      </c>
      <c r="R196" t="s">
        <v>20</v>
      </c>
    </row>
    <row r="197" spans="1:18">
      <c r="A197">
        <v>25559</v>
      </c>
      <c r="B197" t="s">
        <v>25</v>
      </c>
      <c r="C197" t="str">
        <f t="shared" si="15"/>
        <v>Single</v>
      </c>
      <c r="D197" t="s">
        <v>13</v>
      </c>
      <c r="E197" t="str">
        <f t="shared" si="16"/>
        <v>Male</v>
      </c>
      <c r="F197" s="3">
        <v>20000</v>
      </c>
      <c r="G197" s="3" t="str">
        <f t="shared" si="17"/>
        <v>Lower Class</v>
      </c>
      <c r="H197">
        <v>0</v>
      </c>
      <c r="I197" t="s">
        <v>15</v>
      </c>
      <c r="J197" t="s">
        <v>22</v>
      </c>
      <c r="K197" t="s">
        <v>17</v>
      </c>
      <c r="L197" t="str">
        <f t="shared" si="18"/>
        <v>Home Owner</v>
      </c>
      <c r="M197">
        <v>0</v>
      </c>
      <c r="N197" t="s">
        <v>18</v>
      </c>
      <c r="O197" t="s">
        <v>27</v>
      </c>
      <c r="P197">
        <v>25</v>
      </c>
      <c r="Q197" t="str">
        <f t="shared" si="19"/>
        <v>25 to 34 yrs</v>
      </c>
      <c r="R197" t="s">
        <v>17</v>
      </c>
    </row>
    <row r="198" spans="1:18">
      <c r="A198">
        <v>16209</v>
      </c>
      <c r="B198" t="s">
        <v>25</v>
      </c>
      <c r="C198" t="str">
        <f t="shared" si="15"/>
        <v>Single</v>
      </c>
      <c r="D198" t="s">
        <v>14</v>
      </c>
      <c r="E198" t="str">
        <f t="shared" si="16"/>
        <v>Female</v>
      </c>
      <c r="F198" s="3">
        <v>50000</v>
      </c>
      <c r="G198" s="3" t="str">
        <f t="shared" si="17"/>
        <v>Lower Class</v>
      </c>
      <c r="H198">
        <v>0</v>
      </c>
      <c r="I198" t="s">
        <v>34</v>
      </c>
      <c r="J198" t="s">
        <v>16</v>
      </c>
      <c r="K198" t="s">
        <v>17</v>
      </c>
      <c r="L198" t="str">
        <f t="shared" si="18"/>
        <v>Home Owner</v>
      </c>
      <c r="M198">
        <v>0</v>
      </c>
      <c r="N198" t="s">
        <v>29</v>
      </c>
      <c r="O198" t="s">
        <v>19</v>
      </c>
      <c r="P198">
        <v>36</v>
      </c>
      <c r="Q198" t="str">
        <f t="shared" si="19"/>
        <v>35 to 44 yrs</v>
      </c>
      <c r="R198" t="s">
        <v>20</v>
      </c>
    </row>
    <row r="199" spans="1:18">
      <c r="A199">
        <v>11147</v>
      </c>
      <c r="B199" t="s">
        <v>13</v>
      </c>
      <c r="C199" t="str">
        <f t="shared" si="15"/>
        <v>Married</v>
      </c>
      <c r="D199" t="s">
        <v>13</v>
      </c>
      <c r="E199" t="str">
        <f t="shared" si="16"/>
        <v>Male</v>
      </c>
      <c r="F199" s="3">
        <v>60000</v>
      </c>
      <c r="G199" s="3" t="str">
        <f t="shared" si="17"/>
        <v>Middle Class</v>
      </c>
      <c r="H199">
        <v>2</v>
      </c>
      <c r="I199" t="s">
        <v>34</v>
      </c>
      <c r="J199" t="s">
        <v>31</v>
      </c>
      <c r="K199" t="s">
        <v>17</v>
      </c>
      <c r="L199" t="str">
        <f t="shared" si="18"/>
        <v>Home Owner</v>
      </c>
      <c r="M199">
        <v>1</v>
      </c>
      <c r="N199" t="s">
        <v>18</v>
      </c>
      <c r="O199" t="s">
        <v>27</v>
      </c>
      <c r="P199">
        <v>67</v>
      </c>
      <c r="Q199" t="str">
        <f t="shared" si="19"/>
        <v>65 yrs &amp; Above</v>
      </c>
      <c r="R199" t="s">
        <v>17</v>
      </c>
    </row>
    <row r="200" spans="1:18">
      <c r="A200">
        <v>15214</v>
      </c>
      <c r="B200" t="s">
        <v>25</v>
      </c>
      <c r="C200" t="str">
        <f t="shared" si="15"/>
        <v>Single</v>
      </c>
      <c r="D200" t="s">
        <v>14</v>
      </c>
      <c r="E200" t="str">
        <f t="shared" si="16"/>
        <v>Female</v>
      </c>
      <c r="F200" s="3">
        <v>100000</v>
      </c>
      <c r="G200" s="3" t="str">
        <f t="shared" si="17"/>
        <v>Middle Class</v>
      </c>
      <c r="H200">
        <v>0</v>
      </c>
      <c r="I200" t="s">
        <v>34</v>
      </c>
      <c r="J200" t="s">
        <v>31</v>
      </c>
      <c r="K200" t="s">
        <v>20</v>
      </c>
      <c r="L200" t="str">
        <f t="shared" si="18"/>
        <v>Tenant</v>
      </c>
      <c r="M200">
        <v>1</v>
      </c>
      <c r="N200" t="s">
        <v>29</v>
      </c>
      <c r="O200" t="s">
        <v>27</v>
      </c>
      <c r="P200">
        <v>39</v>
      </c>
      <c r="Q200" t="str">
        <f t="shared" si="19"/>
        <v>35 to 44 yrs</v>
      </c>
      <c r="R200" t="s">
        <v>17</v>
      </c>
    </row>
    <row r="201" spans="1:18">
      <c r="A201">
        <v>11453</v>
      </c>
      <c r="B201" t="s">
        <v>25</v>
      </c>
      <c r="C201" t="str">
        <f t="shared" si="15"/>
        <v>Single</v>
      </c>
      <c r="D201" t="s">
        <v>13</v>
      </c>
      <c r="E201" t="str">
        <f t="shared" si="16"/>
        <v>Male</v>
      </c>
      <c r="F201" s="3">
        <v>80000</v>
      </c>
      <c r="G201" s="3" t="str">
        <f t="shared" si="17"/>
        <v>Middle Class</v>
      </c>
      <c r="H201">
        <v>0</v>
      </c>
      <c r="I201" t="s">
        <v>15</v>
      </c>
      <c r="J201" t="s">
        <v>23</v>
      </c>
      <c r="K201" t="s">
        <v>20</v>
      </c>
      <c r="L201" t="str">
        <f t="shared" si="18"/>
        <v>Tenant</v>
      </c>
      <c r="M201">
        <v>3</v>
      </c>
      <c r="N201" t="s">
        <v>33</v>
      </c>
      <c r="O201" t="s">
        <v>27</v>
      </c>
      <c r="P201">
        <v>33</v>
      </c>
      <c r="Q201" t="str">
        <f t="shared" si="19"/>
        <v>25 to 34 yrs</v>
      </c>
      <c r="R201" t="s">
        <v>17</v>
      </c>
    </row>
    <row r="202" spans="1:18">
      <c r="A202">
        <v>24584</v>
      </c>
      <c r="B202" t="s">
        <v>25</v>
      </c>
      <c r="C202" t="str">
        <f t="shared" si="15"/>
        <v>Single</v>
      </c>
      <c r="D202" t="s">
        <v>13</v>
      </c>
      <c r="E202" t="str">
        <f t="shared" si="16"/>
        <v>Male</v>
      </c>
      <c r="F202" s="3">
        <v>60000</v>
      </c>
      <c r="G202" s="3" t="str">
        <f t="shared" si="17"/>
        <v>Middle Class</v>
      </c>
      <c r="H202">
        <v>0</v>
      </c>
      <c r="I202" t="s">
        <v>15</v>
      </c>
      <c r="J202" t="s">
        <v>23</v>
      </c>
      <c r="K202" t="s">
        <v>20</v>
      </c>
      <c r="L202" t="str">
        <f t="shared" si="18"/>
        <v>Tenant</v>
      </c>
      <c r="M202">
        <v>3</v>
      </c>
      <c r="N202" t="s">
        <v>24</v>
      </c>
      <c r="O202" t="s">
        <v>27</v>
      </c>
      <c r="P202">
        <v>31</v>
      </c>
      <c r="Q202" t="str">
        <f t="shared" si="19"/>
        <v>25 to 34 yrs</v>
      </c>
      <c r="R202" t="s">
        <v>20</v>
      </c>
    </row>
    <row r="203" spans="1:18">
      <c r="A203">
        <v>12585</v>
      </c>
      <c r="B203" t="s">
        <v>13</v>
      </c>
      <c r="C203" t="str">
        <f t="shared" si="15"/>
        <v>Married</v>
      </c>
      <c r="D203" t="s">
        <v>13</v>
      </c>
      <c r="E203" t="str">
        <f t="shared" si="16"/>
        <v>Male</v>
      </c>
      <c r="F203" s="3">
        <v>10000</v>
      </c>
      <c r="G203" s="3" t="str">
        <f t="shared" si="17"/>
        <v>Lower Class</v>
      </c>
      <c r="H203">
        <v>1</v>
      </c>
      <c r="I203" t="s">
        <v>30</v>
      </c>
      <c r="J203" t="s">
        <v>28</v>
      </c>
      <c r="K203" t="s">
        <v>17</v>
      </c>
      <c r="L203" t="str">
        <f t="shared" si="18"/>
        <v>Home Owner</v>
      </c>
      <c r="M203">
        <v>0</v>
      </c>
      <c r="N203" t="s">
        <v>24</v>
      </c>
      <c r="O203" t="s">
        <v>27</v>
      </c>
      <c r="P203">
        <v>27</v>
      </c>
      <c r="Q203" t="str">
        <f t="shared" si="19"/>
        <v>25 to 34 yrs</v>
      </c>
      <c r="R203" t="s">
        <v>17</v>
      </c>
    </row>
    <row r="204" spans="1:18">
      <c r="A204">
        <v>18626</v>
      </c>
      <c r="B204" t="s">
        <v>25</v>
      </c>
      <c r="C204" t="str">
        <f t="shared" si="15"/>
        <v>Single</v>
      </c>
      <c r="D204" t="s">
        <v>13</v>
      </c>
      <c r="E204" t="str">
        <f t="shared" si="16"/>
        <v>Male</v>
      </c>
      <c r="F204" s="3">
        <v>40000</v>
      </c>
      <c r="G204" s="3" t="str">
        <f t="shared" si="17"/>
        <v>Lower Class</v>
      </c>
      <c r="H204">
        <v>2</v>
      </c>
      <c r="I204" t="s">
        <v>21</v>
      </c>
      <c r="J204" t="s">
        <v>22</v>
      </c>
      <c r="K204" t="s">
        <v>17</v>
      </c>
      <c r="L204" t="str">
        <f t="shared" si="18"/>
        <v>Home Owner</v>
      </c>
      <c r="M204">
        <v>0</v>
      </c>
      <c r="N204" t="s">
        <v>29</v>
      </c>
      <c r="O204" t="s">
        <v>19</v>
      </c>
      <c r="P204">
        <v>33</v>
      </c>
      <c r="Q204" t="str">
        <f t="shared" si="19"/>
        <v>25 to 34 yrs</v>
      </c>
      <c r="R204" t="s">
        <v>17</v>
      </c>
    </row>
    <row r="205" spans="1:18">
      <c r="A205">
        <v>29298</v>
      </c>
      <c r="B205" t="s">
        <v>25</v>
      </c>
      <c r="C205" t="str">
        <f t="shared" si="15"/>
        <v>Single</v>
      </c>
      <c r="D205" t="s">
        <v>14</v>
      </c>
      <c r="E205" t="str">
        <f t="shared" si="16"/>
        <v>Female</v>
      </c>
      <c r="F205" s="3">
        <v>60000</v>
      </c>
      <c r="G205" s="3" t="str">
        <f t="shared" si="17"/>
        <v>Middle Class</v>
      </c>
      <c r="H205">
        <v>1</v>
      </c>
      <c r="I205" t="s">
        <v>21</v>
      </c>
      <c r="J205" t="s">
        <v>16</v>
      </c>
      <c r="K205" t="s">
        <v>17</v>
      </c>
      <c r="L205" t="str">
        <f t="shared" si="18"/>
        <v>Home Owner</v>
      </c>
      <c r="M205">
        <v>1</v>
      </c>
      <c r="N205" t="s">
        <v>26</v>
      </c>
      <c r="O205" t="s">
        <v>27</v>
      </c>
      <c r="P205">
        <v>46</v>
      </c>
      <c r="Q205" t="str">
        <f t="shared" si="19"/>
        <v>45 to 54 yrs</v>
      </c>
      <c r="R205" t="s">
        <v>17</v>
      </c>
    </row>
    <row r="206" spans="1:18">
      <c r="A206">
        <v>24842</v>
      </c>
      <c r="B206" t="s">
        <v>25</v>
      </c>
      <c r="C206" t="str">
        <f t="shared" si="15"/>
        <v>Single</v>
      </c>
      <c r="D206" t="s">
        <v>14</v>
      </c>
      <c r="E206" t="str">
        <f t="shared" si="16"/>
        <v>Female</v>
      </c>
      <c r="F206" s="3">
        <v>90000</v>
      </c>
      <c r="G206" s="3" t="str">
        <f t="shared" si="17"/>
        <v>Middle Class</v>
      </c>
      <c r="H206">
        <v>3</v>
      </c>
      <c r="I206" t="s">
        <v>30</v>
      </c>
      <c r="J206" t="s">
        <v>23</v>
      </c>
      <c r="K206" t="s">
        <v>20</v>
      </c>
      <c r="L206" t="str">
        <f t="shared" si="18"/>
        <v>Tenant</v>
      </c>
      <c r="M206">
        <v>1</v>
      </c>
      <c r="N206" t="s">
        <v>24</v>
      </c>
      <c r="O206" t="s">
        <v>19</v>
      </c>
      <c r="P206">
        <v>51</v>
      </c>
      <c r="Q206" t="str">
        <f t="shared" si="19"/>
        <v>45 to 54 yrs</v>
      </c>
      <c r="R206" t="s">
        <v>20</v>
      </c>
    </row>
    <row r="207" spans="1:18">
      <c r="A207">
        <v>15657</v>
      </c>
      <c r="B207" t="s">
        <v>13</v>
      </c>
      <c r="C207" t="str">
        <f t="shared" si="15"/>
        <v>Married</v>
      </c>
      <c r="D207" t="s">
        <v>13</v>
      </c>
      <c r="E207" t="str">
        <f t="shared" si="16"/>
        <v>Male</v>
      </c>
      <c r="F207" s="3">
        <v>30000</v>
      </c>
      <c r="G207" s="3" t="str">
        <f t="shared" si="17"/>
        <v>Lower Class</v>
      </c>
      <c r="H207">
        <v>3</v>
      </c>
      <c r="I207" t="s">
        <v>34</v>
      </c>
      <c r="J207" t="s">
        <v>22</v>
      </c>
      <c r="K207" t="s">
        <v>17</v>
      </c>
      <c r="L207" t="str">
        <f t="shared" si="18"/>
        <v>Home Owner</v>
      </c>
      <c r="M207">
        <v>0</v>
      </c>
      <c r="N207" t="s">
        <v>18</v>
      </c>
      <c r="O207" t="s">
        <v>19</v>
      </c>
      <c r="P207">
        <v>46</v>
      </c>
      <c r="Q207" t="str">
        <f t="shared" si="19"/>
        <v>45 to 54 yrs</v>
      </c>
      <c r="R207" t="s">
        <v>17</v>
      </c>
    </row>
    <row r="208" spans="1:18">
      <c r="A208">
        <v>11415</v>
      </c>
      <c r="B208" t="s">
        <v>25</v>
      </c>
      <c r="C208" t="str">
        <f t="shared" si="15"/>
        <v>Single</v>
      </c>
      <c r="D208" t="s">
        <v>13</v>
      </c>
      <c r="E208" t="str">
        <f t="shared" si="16"/>
        <v>Male</v>
      </c>
      <c r="F208" s="3">
        <v>90000</v>
      </c>
      <c r="G208" s="3" t="str">
        <f t="shared" si="17"/>
        <v>Middle Class</v>
      </c>
      <c r="H208">
        <v>5</v>
      </c>
      <c r="I208" t="s">
        <v>21</v>
      </c>
      <c r="J208" t="s">
        <v>23</v>
      </c>
      <c r="K208" t="s">
        <v>20</v>
      </c>
      <c r="L208" t="str">
        <f t="shared" si="18"/>
        <v>Tenant</v>
      </c>
      <c r="M208">
        <v>2</v>
      </c>
      <c r="N208" t="s">
        <v>33</v>
      </c>
      <c r="O208" t="s">
        <v>19</v>
      </c>
      <c r="P208">
        <v>62</v>
      </c>
      <c r="Q208" t="str">
        <f t="shared" si="19"/>
        <v>55 to 64 yrs</v>
      </c>
      <c r="R208" t="s">
        <v>20</v>
      </c>
    </row>
    <row r="209" spans="1:18">
      <c r="A209">
        <v>28729</v>
      </c>
      <c r="B209" t="s">
        <v>25</v>
      </c>
      <c r="C209" t="str">
        <f t="shared" si="15"/>
        <v>Single</v>
      </c>
      <c r="D209" t="s">
        <v>14</v>
      </c>
      <c r="E209" t="str">
        <f t="shared" si="16"/>
        <v>Female</v>
      </c>
      <c r="F209" s="3">
        <v>20000</v>
      </c>
      <c r="G209" s="3" t="str">
        <f t="shared" si="17"/>
        <v>Lower Class</v>
      </c>
      <c r="H209">
        <v>0</v>
      </c>
      <c r="I209" t="s">
        <v>32</v>
      </c>
      <c r="J209" t="s">
        <v>28</v>
      </c>
      <c r="K209" t="s">
        <v>17</v>
      </c>
      <c r="L209" t="str">
        <f t="shared" si="18"/>
        <v>Home Owner</v>
      </c>
      <c r="M209">
        <v>2</v>
      </c>
      <c r="N209" t="s">
        <v>29</v>
      </c>
      <c r="O209" t="s">
        <v>19</v>
      </c>
      <c r="P209">
        <v>26</v>
      </c>
      <c r="Q209" t="str">
        <f t="shared" si="19"/>
        <v>25 to 34 yrs</v>
      </c>
      <c r="R209" t="s">
        <v>17</v>
      </c>
    </row>
    <row r="210" spans="1:18">
      <c r="A210">
        <v>22633</v>
      </c>
      <c r="B210" t="s">
        <v>25</v>
      </c>
      <c r="C210" t="str">
        <f t="shared" si="15"/>
        <v>Single</v>
      </c>
      <c r="D210" t="s">
        <v>14</v>
      </c>
      <c r="E210" t="str">
        <f t="shared" si="16"/>
        <v>Female</v>
      </c>
      <c r="F210" s="3">
        <v>40000</v>
      </c>
      <c r="G210" s="3" t="str">
        <f t="shared" si="17"/>
        <v>Lower Class</v>
      </c>
      <c r="H210">
        <v>0</v>
      </c>
      <c r="I210" t="s">
        <v>34</v>
      </c>
      <c r="J210" t="s">
        <v>22</v>
      </c>
      <c r="K210" t="s">
        <v>17</v>
      </c>
      <c r="L210" t="str">
        <f t="shared" si="18"/>
        <v>Home Owner</v>
      </c>
      <c r="M210">
        <v>0</v>
      </c>
      <c r="N210" t="s">
        <v>18</v>
      </c>
      <c r="O210" t="s">
        <v>19</v>
      </c>
      <c r="P210">
        <v>37</v>
      </c>
      <c r="Q210" t="str">
        <f t="shared" si="19"/>
        <v>35 to 44 yrs</v>
      </c>
      <c r="R210" t="s">
        <v>17</v>
      </c>
    </row>
    <row r="211" spans="1:18">
      <c r="A211">
        <v>25649</v>
      </c>
      <c r="B211" t="s">
        <v>25</v>
      </c>
      <c r="C211" t="str">
        <f t="shared" si="15"/>
        <v>Single</v>
      </c>
      <c r="D211" t="s">
        <v>14</v>
      </c>
      <c r="E211" t="str">
        <f t="shared" si="16"/>
        <v>Female</v>
      </c>
      <c r="F211" s="3">
        <v>30000</v>
      </c>
      <c r="G211" s="3" t="str">
        <f t="shared" si="17"/>
        <v>Lower Class</v>
      </c>
      <c r="H211">
        <v>3</v>
      </c>
      <c r="I211" t="s">
        <v>21</v>
      </c>
      <c r="J211" t="s">
        <v>22</v>
      </c>
      <c r="K211" t="s">
        <v>17</v>
      </c>
      <c r="L211" t="str">
        <f t="shared" si="18"/>
        <v>Home Owner</v>
      </c>
      <c r="M211">
        <v>0</v>
      </c>
      <c r="N211" t="s">
        <v>18</v>
      </c>
      <c r="O211" t="s">
        <v>19</v>
      </c>
      <c r="P211">
        <v>42</v>
      </c>
      <c r="Q211" t="str">
        <f t="shared" si="19"/>
        <v>35 to 44 yrs</v>
      </c>
      <c r="R211" t="s">
        <v>17</v>
      </c>
    </row>
    <row r="212" spans="1:18">
      <c r="A212">
        <v>14669</v>
      </c>
      <c r="B212" t="s">
        <v>13</v>
      </c>
      <c r="C212" t="str">
        <f t="shared" si="15"/>
        <v>Married</v>
      </c>
      <c r="D212" t="s">
        <v>14</v>
      </c>
      <c r="E212" t="str">
        <f t="shared" si="16"/>
        <v>Female</v>
      </c>
      <c r="F212" s="3">
        <v>80000</v>
      </c>
      <c r="G212" s="3" t="str">
        <f t="shared" si="17"/>
        <v>Middle Class</v>
      </c>
      <c r="H212">
        <v>4</v>
      </c>
      <c r="I212" t="s">
        <v>34</v>
      </c>
      <c r="J212" t="s">
        <v>31</v>
      </c>
      <c r="K212" t="s">
        <v>17</v>
      </c>
      <c r="L212" t="str">
        <f t="shared" si="18"/>
        <v>Home Owner</v>
      </c>
      <c r="M212">
        <v>1</v>
      </c>
      <c r="N212" t="s">
        <v>18</v>
      </c>
      <c r="O212" t="s">
        <v>27</v>
      </c>
      <c r="P212">
        <v>36</v>
      </c>
      <c r="Q212" t="str">
        <f t="shared" si="19"/>
        <v>35 to 44 yrs</v>
      </c>
      <c r="R212" t="s">
        <v>20</v>
      </c>
    </row>
    <row r="213" spans="1:18">
      <c r="A213">
        <v>19299</v>
      </c>
      <c r="B213" t="s">
        <v>13</v>
      </c>
      <c r="C213" t="str">
        <f t="shared" si="15"/>
        <v>Married</v>
      </c>
      <c r="D213" t="s">
        <v>14</v>
      </c>
      <c r="E213" t="str">
        <f t="shared" si="16"/>
        <v>Female</v>
      </c>
      <c r="F213" s="3">
        <v>50000</v>
      </c>
      <c r="G213" s="3" t="str">
        <f t="shared" si="17"/>
        <v>Lower Class</v>
      </c>
      <c r="H213">
        <v>0</v>
      </c>
      <c r="I213" t="s">
        <v>34</v>
      </c>
      <c r="J213" t="s">
        <v>16</v>
      </c>
      <c r="K213" t="s">
        <v>17</v>
      </c>
      <c r="L213" t="str">
        <f t="shared" si="18"/>
        <v>Home Owner</v>
      </c>
      <c r="M213">
        <v>0</v>
      </c>
      <c r="N213" t="s">
        <v>18</v>
      </c>
      <c r="O213" t="s">
        <v>19</v>
      </c>
      <c r="P213">
        <v>36</v>
      </c>
      <c r="Q213" t="str">
        <f t="shared" si="19"/>
        <v>35 to 44 yrs</v>
      </c>
      <c r="R213" t="s">
        <v>17</v>
      </c>
    </row>
    <row r="214" spans="1:18">
      <c r="A214">
        <v>20946</v>
      </c>
      <c r="B214" t="s">
        <v>25</v>
      </c>
      <c r="C214" t="str">
        <f t="shared" si="15"/>
        <v>Single</v>
      </c>
      <c r="D214" t="s">
        <v>14</v>
      </c>
      <c r="E214" t="str">
        <f t="shared" si="16"/>
        <v>Female</v>
      </c>
      <c r="F214" s="3">
        <v>30000</v>
      </c>
      <c r="G214" s="3" t="str">
        <f t="shared" si="17"/>
        <v>Lower Class</v>
      </c>
      <c r="H214">
        <v>0</v>
      </c>
      <c r="I214" t="s">
        <v>21</v>
      </c>
      <c r="J214" t="s">
        <v>22</v>
      </c>
      <c r="K214" t="s">
        <v>20</v>
      </c>
      <c r="L214" t="str">
        <f t="shared" si="18"/>
        <v>Tenant</v>
      </c>
      <c r="M214">
        <v>1</v>
      </c>
      <c r="N214" t="s">
        <v>24</v>
      </c>
      <c r="O214" t="s">
        <v>19</v>
      </c>
      <c r="P214">
        <v>30</v>
      </c>
      <c r="Q214" t="str">
        <f t="shared" si="19"/>
        <v>25 to 34 yrs</v>
      </c>
      <c r="R214" t="s">
        <v>20</v>
      </c>
    </row>
    <row r="215" spans="1:18">
      <c r="A215">
        <v>11451</v>
      </c>
      <c r="B215" t="s">
        <v>25</v>
      </c>
      <c r="C215" t="str">
        <f t="shared" si="15"/>
        <v>Single</v>
      </c>
      <c r="D215" t="s">
        <v>13</v>
      </c>
      <c r="E215" t="str">
        <f t="shared" si="16"/>
        <v>Male</v>
      </c>
      <c r="F215" s="3">
        <v>70000</v>
      </c>
      <c r="G215" s="3" t="str">
        <f t="shared" si="17"/>
        <v>Middle Class</v>
      </c>
      <c r="H215">
        <v>0</v>
      </c>
      <c r="I215" t="s">
        <v>15</v>
      </c>
      <c r="J215" t="s">
        <v>23</v>
      </c>
      <c r="K215" t="s">
        <v>20</v>
      </c>
      <c r="L215" t="str">
        <f t="shared" si="18"/>
        <v>Tenant</v>
      </c>
      <c r="M215">
        <v>4</v>
      </c>
      <c r="N215" t="s">
        <v>33</v>
      </c>
      <c r="O215" t="s">
        <v>27</v>
      </c>
      <c r="P215">
        <v>31</v>
      </c>
      <c r="Q215" t="str">
        <f t="shared" si="19"/>
        <v>25 to 34 yrs</v>
      </c>
      <c r="R215" t="s">
        <v>17</v>
      </c>
    </row>
    <row r="216" spans="1:18">
      <c r="A216">
        <v>25553</v>
      </c>
      <c r="B216" t="s">
        <v>13</v>
      </c>
      <c r="C216" t="str">
        <f t="shared" si="15"/>
        <v>Married</v>
      </c>
      <c r="D216" t="s">
        <v>13</v>
      </c>
      <c r="E216" t="str">
        <f t="shared" si="16"/>
        <v>Male</v>
      </c>
      <c r="F216" s="3">
        <v>30000</v>
      </c>
      <c r="G216" s="3" t="str">
        <f t="shared" si="17"/>
        <v>Lower Class</v>
      </c>
      <c r="H216">
        <v>1</v>
      </c>
      <c r="I216" t="s">
        <v>15</v>
      </c>
      <c r="J216" t="s">
        <v>22</v>
      </c>
      <c r="K216" t="s">
        <v>17</v>
      </c>
      <c r="L216" t="str">
        <f t="shared" si="18"/>
        <v>Home Owner</v>
      </c>
      <c r="M216">
        <v>0</v>
      </c>
      <c r="N216" t="s">
        <v>18</v>
      </c>
      <c r="O216" t="s">
        <v>19</v>
      </c>
      <c r="P216">
        <v>65</v>
      </c>
      <c r="Q216" t="str">
        <f t="shared" si="19"/>
        <v>65 yrs &amp; Above</v>
      </c>
      <c r="R216" t="s">
        <v>17</v>
      </c>
    </row>
    <row r="217" spans="1:18">
      <c r="A217">
        <v>27951</v>
      </c>
      <c r="B217" t="s">
        <v>25</v>
      </c>
      <c r="C217" t="str">
        <f t="shared" si="15"/>
        <v>Single</v>
      </c>
      <c r="D217" t="s">
        <v>13</v>
      </c>
      <c r="E217" t="str">
        <f t="shared" si="16"/>
        <v>Male</v>
      </c>
      <c r="F217" s="3">
        <v>80000</v>
      </c>
      <c r="G217" s="3" t="str">
        <f t="shared" si="17"/>
        <v>Middle Class</v>
      </c>
      <c r="H217">
        <v>4</v>
      </c>
      <c r="I217" t="s">
        <v>21</v>
      </c>
      <c r="J217" t="s">
        <v>23</v>
      </c>
      <c r="K217" t="s">
        <v>20</v>
      </c>
      <c r="L217" t="str">
        <f t="shared" si="18"/>
        <v>Tenant</v>
      </c>
      <c r="M217">
        <v>2</v>
      </c>
      <c r="N217" t="s">
        <v>24</v>
      </c>
      <c r="O217" t="s">
        <v>19</v>
      </c>
      <c r="P217">
        <v>54</v>
      </c>
      <c r="Q217" t="str">
        <f t="shared" si="19"/>
        <v>45 to 54 yrs</v>
      </c>
      <c r="R217" t="s">
        <v>17</v>
      </c>
    </row>
    <row r="218" spans="1:18">
      <c r="A218">
        <v>25026</v>
      </c>
      <c r="B218" t="s">
        <v>13</v>
      </c>
      <c r="C218" t="str">
        <f t="shared" si="15"/>
        <v>Married</v>
      </c>
      <c r="D218" t="s">
        <v>13</v>
      </c>
      <c r="E218" t="str">
        <f t="shared" si="16"/>
        <v>Male</v>
      </c>
      <c r="F218" s="3">
        <v>20000</v>
      </c>
      <c r="G218" s="3" t="str">
        <f t="shared" si="17"/>
        <v>Lower Class</v>
      </c>
      <c r="H218">
        <v>2</v>
      </c>
      <c r="I218" t="s">
        <v>32</v>
      </c>
      <c r="J218" t="s">
        <v>22</v>
      </c>
      <c r="K218" t="s">
        <v>17</v>
      </c>
      <c r="L218" t="str">
        <f t="shared" si="18"/>
        <v>Home Owner</v>
      </c>
      <c r="M218">
        <v>3</v>
      </c>
      <c r="N218" t="s">
        <v>26</v>
      </c>
      <c r="O218" t="s">
        <v>27</v>
      </c>
      <c r="P218">
        <v>54</v>
      </c>
      <c r="Q218" t="str">
        <f t="shared" si="19"/>
        <v>45 to 54 yrs</v>
      </c>
      <c r="R218" t="s">
        <v>20</v>
      </c>
    </row>
    <row r="219" spans="1:18">
      <c r="A219">
        <v>13673</v>
      </c>
      <c r="B219" t="s">
        <v>25</v>
      </c>
      <c r="C219" t="str">
        <f t="shared" si="15"/>
        <v>Single</v>
      </c>
      <c r="D219" t="s">
        <v>14</v>
      </c>
      <c r="E219" t="str">
        <f t="shared" si="16"/>
        <v>Female</v>
      </c>
      <c r="F219" s="3">
        <v>20000</v>
      </c>
      <c r="G219" s="3" t="str">
        <f t="shared" si="17"/>
        <v>Lower Class</v>
      </c>
      <c r="H219">
        <v>0</v>
      </c>
      <c r="I219" t="s">
        <v>32</v>
      </c>
      <c r="J219" t="s">
        <v>28</v>
      </c>
      <c r="K219" t="s">
        <v>20</v>
      </c>
      <c r="L219" t="str">
        <f t="shared" si="18"/>
        <v>Tenant</v>
      </c>
      <c r="M219">
        <v>2</v>
      </c>
      <c r="N219" t="s">
        <v>18</v>
      </c>
      <c r="O219" t="s">
        <v>19</v>
      </c>
      <c r="P219">
        <v>25</v>
      </c>
      <c r="Q219" t="str">
        <f t="shared" si="19"/>
        <v>25 to 34 yrs</v>
      </c>
      <c r="R219" t="s">
        <v>20</v>
      </c>
    </row>
    <row r="220" spans="1:18">
      <c r="A220">
        <v>16043</v>
      </c>
      <c r="B220" t="s">
        <v>25</v>
      </c>
      <c r="C220" t="str">
        <f t="shared" si="15"/>
        <v>Single</v>
      </c>
      <c r="D220" t="s">
        <v>13</v>
      </c>
      <c r="E220" t="str">
        <f t="shared" si="16"/>
        <v>Male</v>
      </c>
      <c r="F220" s="3">
        <v>10000</v>
      </c>
      <c r="G220" s="3" t="str">
        <f t="shared" si="17"/>
        <v>Lower Class</v>
      </c>
      <c r="H220">
        <v>1</v>
      </c>
      <c r="I220" t="s">
        <v>15</v>
      </c>
      <c r="J220" t="s">
        <v>28</v>
      </c>
      <c r="K220" t="s">
        <v>17</v>
      </c>
      <c r="L220" t="str">
        <f t="shared" si="18"/>
        <v>Home Owner</v>
      </c>
      <c r="M220">
        <v>0</v>
      </c>
      <c r="N220" t="s">
        <v>18</v>
      </c>
      <c r="O220" t="s">
        <v>19</v>
      </c>
      <c r="P220">
        <v>48</v>
      </c>
      <c r="Q220" t="str">
        <f t="shared" si="19"/>
        <v>45 to 54 yrs</v>
      </c>
      <c r="R220" t="s">
        <v>20</v>
      </c>
    </row>
    <row r="221" spans="1:18">
      <c r="A221">
        <v>22399</v>
      </c>
      <c r="B221" t="s">
        <v>25</v>
      </c>
      <c r="C221" t="str">
        <f t="shared" si="15"/>
        <v>Single</v>
      </c>
      <c r="D221" t="s">
        <v>13</v>
      </c>
      <c r="E221" t="str">
        <f t="shared" si="16"/>
        <v>Male</v>
      </c>
      <c r="F221" s="3">
        <v>10000</v>
      </c>
      <c r="G221" s="3" t="str">
        <f t="shared" si="17"/>
        <v>Lower Class</v>
      </c>
      <c r="H221">
        <v>0</v>
      </c>
      <c r="I221" t="s">
        <v>21</v>
      </c>
      <c r="J221" t="s">
        <v>28</v>
      </c>
      <c r="K221" t="s">
        <v>17</v>
      </c>
      <c r="L221" t="str">
        <f t="shared" si="18"/>
        <v>Home Owner</v>
      </c>
      <c r="M221">
        <v>1</v>
      </c>
      <c r="N221" t="s">
        <v>29</v>
      </c>
      <c r="O221" t="s">
        <v>27</v>
      </c>
      <c r="P221">
        <v>26</v>
      </c>
      <c r="Q221" t="str">
        <f t="shared" si="19"/>
        <v>25 to 34 yrs</v>
      </c>
      <c r="R221" t="s">
        <v>17</v>
      </c>
    </row>
    <row r="222" spans="1:18">
      <c r="A222">
        <v>27696</v>
      </c>
      <c r="B222" t="s">
        <v>13</v>
      </c>
      <c r="C222" t="str">
        <f t="shared" si="15"/>
        <v>Married</v>
      </c>
      <c r="D222" t="s">
        <v>13</v>
      </c>
      <c r="E222" t="str">
        <f t="shared" si="16"/>
        <v>Male</v>
      </c>
      <c r="F222" s="3">
        <v>60000</v>
      </c>
      <c r="G222" s="3" t="str">
        <f t="shared" si="17"/>
        <v>Middle Class</v>
      </c>
      <c r="H222">
        <v>1</v>
      </c>
      <c r="I222" t="s">
        <v>15</v>
      </c>
      <c r="J222" t="s">
        <v>23</v>
      </c>
      <c r="K222" t="s">
        <v>17</v>
      </c>
      <c r="L222" t="str">
        <f t="shared" si="18"/>
        <v>Home Owner</v>
      </c>
      <c r="M222">
        <v>1</v>
      </c>
      <c r="N222" t="s">
        <v>26</v>
      </c>
      <c r="O222" t="s">
        <v>27</v>
      </c>
      <c r="P222">
        <v>43</v>
      </c>
      <c r="Q222" t="str">
        <f t="shared" si="19"/>
        <v>35 to 44 yrs</v>
      </c>
      <c r="R222" t="s">
        <v>17</v>
      </c>
    </row>
    <row r="223" spans="1:18">
      <c r="A223">
        <v>25313</v>
      </c>
      <c r="B223" t="s">
        <v>25</v>
      </c>
      <c r="C223" t="str">
        <f t="shared" si="15"/>
        <v>Single</v>
      </c>
      <c r="D223" t="s">
        <v>13</v>
      </c>
      <c r="E223" t="str">
        <f t="shared" si="16"/>
        <v>Male</v>
      </c>
      <c r="F223" s="3">
        <v>10000</v>
      </c>
      <c r="G223" s="3" t="str">
        <f t="shared" si="17"/>
        <v>Lower Class</v>
      </c>
      <c r="H223">
        <v>0</v>
      </c>
      <c r="I223" t="s">
        <v>32</v>
      </c>
      <c r="J223" t="s">
        <v>28</v>
      </c>
      <c r="K223" t="s">
        <v>20</v>
      </c>
      <c r="L223" t="str">
        <f t="shared" si="18"/>
        <v>Tenant</v>
      </c>
      <c r="M223">
        <v>2</v>
      </c>
      <c r="N223" t="s">
        <v>29</v>
      </c>
      <c r="O223" t="s">
        <v>19</v>
      </c>
      <c r="P223">
        <v>35</v>
      </c>
      <c r="Q223" t="str">
        <f t="shared" si="19"/>
        <v>35 to 44 yrs</v>
      </c>
      <c r="R223" t="s">
        <v>20</v>
      </c>
    </row>
    <row r="224" spans="1:18">
      <c r="A224">
        <v>13813</v>
      </c>
      <c r="B224" t="s">
        <v>13</v>
      </c>
      <c r="C224" t="str">
        <f t="shared" si="15"/>
        <v>Married</v>
      </c>
      <c r="D224" t="s">
        <v>14</v>
      </c>
      <c r="E224" t="str">
        <f t="shared" si="16"/>
        <v>Female</v>
      </c>
      <c r="F224" s="3">
        <v>30000</v>
      </c>
      <c r="G224" s="3" t="str">
        <f t="shared" si="17"/>
        <v>Lower Class</v>
      </c>
      <c r="H224">
        <v>3</v>
      </c>
      <c r="I224" t="s">
        <v>21</v>
      </c>
      <c r="J224" t="s">
        <v>22</v>
      </c>
      <c r="K224" t="s">
        <v>20</v>
      </c>
      <c r="L224" t="str">
        <f t="shared" si="18"/>
        <v>Tenant</v>
      </c>
      <c r="M224">
        <v>0</v>
      </c>
      <c r="N224" t="s">
        <v>18</v>
      </c>
      <c r="O224" t="s">
        <v>19</v>
      </c>
      <c r="P224">
        <v>42</v>
      </c>
      <c r="Q224" t="str">
        <f t="shared" si="19"/>
        <v>35 to 44 yrs</v>
      </c>
      <c r="R224" t="s">
        <v>20</v>
      </c>
    </row>
    <row r="225" spans="1:18">
      <c r="A225">
        <v>18711</v>
      </c>
      <c r="B225" t="s">
        <v>25</v>
      </c>
      <c r="C225" t="str">
        <f t="shared" si="15"/>
        <v>Single</v>
      </c>
      <c r="D225" t="s">
        <v>14</v>
      </c>
      <c r="E225" t="str">
        <f t="shared" si="16"/>
        <v>Female</v>
      </c>
      <c r="F225" s="3">
        <v>70000</v>
      </c>
      <c r="G225" s="3" t="str">
        <f t="shared" si="17"/>
        <v>Middle Class</v>
      </c>
      <c r="H225">
        <v>5</v>
      </c>
      <c r="I225" t="s">
        <v>15</v>
      </c>
      <c r="J225" t="s">
        <v>23</v>
      </c>
      <c r="K225" t="s">
        <v>17</v>
      </c>
      <c r="L225" t="str">
        <f t="shared" si="18"/>
        <v>Home Owner</v>
      </c>
      <c r="M225">
        <v>4</v>
      </c>
      <c r="N225" t="s">
        <v>33</v>
      </c>
      <c r="O225" t="s">
        <v>27</v>
      </c>
      <c r="P225">
        <v>39</v>
      </c>
      <c r="Q225" t="str">
        <f t="shared" si="19"/>
        <v>35 to 44 yrs</v>
      </c>
      <c r="R225" t="s">
        <v>20</v>
      </c>
    </row>
    <row r="226" spans="1:18">
      <c r="A226">
        <v>19650</v>
      </c>
      <c r="B226" t="s">
        <v>13</v>
      </c>
      <c r="C226" t="str">
        <f t="shared" si="15"/>
        <v>Married</v>
      </c>
      <c r="D226" t="s">
        <v>14</v>
      </c>
      <c r="E226" t="str">
        <f t="shared" si="16"/>
        <v>Female</v>
      </c>
      <c r="F226" s="3">
        <v>30000</v>
      </c>
      <c r="G226" s="3" t="str">
        <f t="shared" si="17"/>
        <v>Lower Class</v>
      </c>
      <c r="H226">
        <v>2</v>
      </c>
      <c r="I226" t="s">
        <v>21</v>
      </c>
      <c r="J226" t="s">
        <v>22</v>
      </c>
      <c r="K226" t="s">
        <v>20</v>
      </c>
      <c r="L226" t="str">
        <f t="shared" si="18"/>
        <v>Tenant</v>
      </c>
      <c r="M226">
        <v>2</v>
      </c>
      <c r="N226" t="s">
        <v>18</v>
      </c>
      <c r="O226" t="s">
        <v>27</v>
      </c>
      <c r="P226">
        <v>67</v>
      </c>
      <c r="Q226" t="str">
        <f t="shared" si="19"/>
        <v>65 yrs &amp; Above</v>
      </c>
      <c r="R226" t="s">
        <v>20</v>
      </c>
    </row>
    <row r="227" spans="1:18">
      <c r="A227">
        <v>14135</v>
      </c>
      <c r="B227" t="s">
        <v>13</v>
      </c>
      <c r="C227" t="str">
        <f t="shared" si="15"/>
        <v>Married</v>
      </c>
      <c r="D227" t="s">
        <v>13</v>
      </c>
      <c r="E227" t="str">
        <f t="shared" si="16"/>
        <v>Male</v>
      </c>
      <c r="F227" s="3">
        <v>20000</v>
      </c>
      <c r="G227" s="3" t="str">
        <f t="shared" si="17"/>
        <v>Lower Class</v>
      </c>
      <c r="H227">
        <v>1</v>
      </c>
      <c r="I227" t="s">
        <v>21</v>
      </c>
      <c r="J227" t="s">
        <v>28</v>
      </c>
      <c r="K227" t="s">
        <v>17</v>
      </c>
      <c r="L227" t="str">
        <f t="shared" si="18"/>
        <v>Home Owner</v>
      </c>
      <c r="M227">
        <v>0</v>
      </c>
      <c r="N227" t="s">
        <v>29</v>
      </c>
      <c r="O227" t="s">
        <v>19</v>
      </c>
      <c r="P227">
        <v>35</v>
      </c>
      <c r="Q227" t="str">
        <f t="shared" si="19"/>
        <v>35 to 44 yrs</v>
      </c>
      <c r="R227" t="s">
        <v>20</v>
      </c>
    </row>
    <row r="228" spans="1:18">
      <c r="A228">
        <v>12833</v>
      </c>
      <c r="B228" t="s">
        <v>25</v>
      </c>
      <c r="C228" t="str">
        <f t="shared" si="15"/>
        <v>Single</v>
      </c>
      <c r="D228" t="s">
        <v>14</v>
      </c>
      <c r="E228" t="str">
        <f t="shared" si="16"/>
        <v>Female</v>
      </c>
      <c r="F228" s="3">
        <v>20000</v>
      </c>
      <c r="G228" s="3" t="str">
        <f t="shared" si="17"/>
        <v>Lower Class</v>
      </c>
      <c r="H228">
        <v>3</v>
      </c>
      <c r="I228" t="s">
        <v>30</v>
      </c>
      <c r="J228" t="s">
        <v>28</v>
      </c>
      <c r="K228" t="s">
        <v>17</v>
      </c>
      <c r="L228" t="str">
        <f t="shared" si="18"/>
        <v>Home Owner</v>
      </c>
      <c r="M228">
        <v>1</v>
      </c>
      <c r="N228" t="s">
        <v>18</v>
      </c>
      <c r="O228" t="s">
        <v>19</v>
      </c>
      <c r="P228">
        <v>42</v>
      </c>
      <c r="Q228" t="str">
        <f t="shared" si="19"/>
        <v>35 to 44 yrs</v>
      </c>
      <c r="R228" t="s">
        <v>17</v>
      </c>
    </row>
    <row r="229" spans="1:18">
      <c r="A229">
        <v>26849</v>
      </c>
      <c r="B229" t="s">
        <v>13</v>
      </c>
      <c r="C229" t="str">
        <f t="shared" si="15"/>
        <v>Married</v>
      </c>
      <c r="D229" t="s">
        <v>13</v>
      </c>
      <c r="E229" t="str">
        <f t="shared" si="16"/>
        <v>Male</v>
      </c>
      <c r="F229" s="3">
        <v>10000</v>
      </c>
      <c r="G229" s="3" t="str">
        <f t="shared" si="17"/>
        <v>Lower Class</v>
      </c>
      <c r="H229">
        <v>3</v>
      </c>
      <c r="I229" t="s">
        <v>32</v>
      </c>
      <c r="J229" t="s">
        <v>28</v>
      </c>
      <c r="K229" t="s">
        <v>17</v>
      </c>
      <c r="L229" t="str">
        <f t="shared" si="18"/>
        <v>Home Owner</v>
      </c>
      <c r="M229">
        <v>2</v>
      </c>
      <c r="N229" t="s">
        <v>18</v>
      </c>
      <c r="O229" t="s">
        <v>19</v>
      </c>
      <c r="P229">
        <v>43</v>
      </c>
      <c r="Q229" t="str">
        <f t="shared" si="19"/>
        <v>35 to 44 yrs</v>
      </c>
      <c r="R229" t="s">
        <v>20</v>
      </c>
    </row>
    <row r="230" spans="1:18">
      <c r="A230">
        <v>20962</v>
      </c>
      <c r="B230" t="s">
        <v>13</v>
      </c>
      <c r="C230" t="str">
        <f t="shared" si="15"/>
        <v>Married</v>
      </c>
      <c r="D230" t="s">
        <v>14</v>
      </c>
      <c r="E230" t="str">
        <f t="shared" si="16"/>
        <v>Female</v>
      </c>
      <c r="F230" s="3">
        <v>20000</v>
      </c>
      <c r="G230" s="3" t="str">
        <f t="shared" si="17"/>
        <v>Lower Class</v>
      </c>
      <c r="H230">
        <v>1</v>
      </c>
      <c r="I230" t="s">
        <v>34</v>
      </c>
      <c r="J230" t="s">
        <v>22</v>
      </c>
      <c r="K230" t="s">
        <v>17</v>
      </c>
      <c r="L230" t="str">
        <f t="shared" si="18"/>
        <v>Home Owner</v>
      </c>
      <c r="M230">
        <v>0</v>
      </c>
      <c r="N230" t="s">
        <v>18</v>
      </c>
      <c r="O230" t="s">
        <v>19</v>
      </c>
      <c r="P230">
        <v>45</v>
      </c>
      <c r="Q230" t="str">
        <f t="shared" si="19"/>
        <v>45 to 54 yrs</v>
      </c>
      <c r="R230" t="s">
        <v>20</v>
      </c>
    </row>
    <row r="231" spans="1:18">
      <c r="A231">
        <v>28915</v>
      </c>
      <c r="B231" t="s">
        <v>25</v>
      </c>
      <c r="C231" t="str">
        <f t="shared" si="15"/>
        <v>Single</v>
      </c>
      <c r="D231" t="s">
        <v>13</v>
      </c>
      <c r="E231" t="str">
        <f t="shared" si="16"/>
        <v>Male</v>
      </c>
      <c r="F231" s="3">
        <v>80000</v>
      </c>
      <c r="G231" s="3" t="str">
        <f t="shared" si="17"/>
        <v>Middle Class</v>
      </c>
      <c r="H231">
        <v>5</v>
      </c>
      <c r="I231" t="s">
        <v>30</v>
      </c>
      <c r="J231" t="s">
        <v>31</v>
      </c>
      <c r="K231" t="s">
        <v>17</v>
      </c>
      <c r="L231" t="str">
        <f t="shared" si="18"/>
        <v>Home Owner</v>
      </c>
      <c r="M231">
        <v>3</v>
      </c>
      <c r="N231" t="s">
        <v>33</v>
      </c>
      <c r="O231" t="s">
        <v>19</v>
      </c>
      <c r="P231">
        <v>57</v>
      </c>
      <c r="Q231" t="str">
        <f t="shared" si="19"/>
        <v>55 to 64 yrs</v>
      </c>
      <c r="R231" t="s">
        <v>20</v>
      </c>
    </row>
    <row r="232" spans="1:18">
      <c r="A232">
        <v>22830</v>
      </c>
      <c r="B232" t="s">
        <v>13</v>
      </c>
      <c r="C232" t="str">
        <f t="shared" si="15"/>
        <v>Married</v>
      </c>
      <c r="D232" t="s">
        <v>13</v>
      </c>
      <c r="E232" t="str">
        <f t="shared" si="16"/>
        <v>Male</v>
      </c>
      <c r="F232" s="3">
        <v>120000</v>
      </c>
      <c r="G232" s="3" t="str">
        <f t="shared" si="17"/>
        <v>Upper Middle Class</v>
      </c>
      <c r="H232">
        <v>4</v>
      </c>
      <c r="I232" t="s">
        <v>21</v>
      </c>
      <c r="J232" t="s">
        <v>31</v>
      </c>
      <c r="K232" t="s">
        <v>17</v>
      </c>
      <c r="L232" t="str">
        <f t="shared" si="18"/>
        <v>Home Owner</v>
      </c>
      <c r="M232">
        <v>3</v>
      </c>
      <c r="N232" t="s">
        <v>33</v>
      </c>
      <c r="O232" t="s">
        <v>19</v>
      </c>
      <c r="P232">
        <v>56</v>
      </c>
      <c r="Q232" t="str">
        <f t="shared" si="19"/>
        <v>55 to 64 yrs</v>
      </c>
      <c r="R232" t="s">
        <v>20</v>
      </c>
    </row>
    <row r="233" spans="1:18">
      <c r="A233">
        <v>14777</v>
      </c>
      <c r="B233" t="s">
        <v>13</v>
      </c>
      <c r="C233" t="str">
        <f t="shared" si="15"/>
        <v>Married</v>
      </c>
      <c r="D233" t="s">
        <v>14</v>
      </c>
      <c r="E233" t="str">
        <f t="shared" si="16"/>
        <v>Female</v>
      </c>
      <c r="F233" s="3">
        <v>40000</v>
      </c>
      <c r="G233" s="3" t="str">
        <f t="shared" si="17"/>
        <v>Lower Class</v>
      </c>
      <c r="H233">
        <v>0</v>
      </c>
      <c r="I233" t="s">
        <v>15</v>
      </c>
      <c r="J233" t="s">
        <v>22</v>
      </c>
      <c r="K233" t="s">
        <v>17</v>
      </c>
      <c r="L233" t="str">
        <f t="shared" si="18"/>
        <v>Home Owner</v>
      </c>
      <c r="M233">
        <v>0</v>
      </c>
      <c r="N233" t="s">
        <v>18</v>
      </c>
      <c r="O233" t="s">
        <v>19</v>
      </c>
      <c r="P233">
        <v>38</v>
      </c>
      <c r="Q233" t="str">
        <f t="shared" si="19"/>
        <v>35 to 44 yrs</v>
      </c>
      <c r="R233" t="s">
        <v>17</v>
      </c>
    </row>
    <row r="234" spans="1:18">
      <c r="A234">
        <v>12591</v>
      </c>
      <c r="B234" t="s">
        <v>13</v>
      </c>
      <c r="C234" t="str">
        <f t="shared" si="15"/>
        <v>Married</v>
      </c>
      <c r="D234" t="s">
        <v>14</v>
      </c>
      <c r="E234" t="str">
        <f t="shared" si="16"/>
        <v>Female</v>
      </c>
      <c r="F234" s="3">
        <v>30000</v>
      </c>
      <c r="G234" s="3" t="str">
        <f t="shared" si="17"/>
        <v>Lower Class</v>
      </c>
      <c r="H234">
        <v>4</v>
      </c>
      <c r="I234" t="s">
        <v>34</v>
      </c>
      <c r="J234" t="s">
        <v>22</v>
      </c>
      <c r="K234" t="s">
        <v>17</v>
      </c>
      <c r="L234" t="str">
        <f t="shared" si="18"/>
        <v>Home Owner</v>
      </c>
      <c r="M234">
        <v>0</v>
      </c>
      <c r="N234" t="s">
        <v>18</v>
      </c>
      <c r="O234" t="s">
        <v>19</v>
      </c>
      <c r="P234">
        <v>45</v>
      </c>
      <c r="Q234" t="str">
        <f t="shared" si="19"/>
        <v>45 to 54 yrs</v>
      </c>
      <c r="R234" t="s">
        <v>20</v>
      </c>
    </row>
    <row r="235" spans="1:18">
      <c r="A235">
        <v>24174</v>
      </c>
      <c r="B235" t="s">
        <v>13</v>
      </c>
      <c r="C235" t="str">
        <f t="shared" si="15"/>
        <v>Married</v>
      </c>
      <c r="D235" t="s">
        <v>13</v>
      </c>
      <c r="E235" t="str">
        <f t="shared" si="16"/>
        <v>Male</v>
      </c>
      <c r="F235" s="3">
        <v>20000</v>
      </c>
      <c r="G235" s="3" t="str">
        <f t="shared" si="17"/>
        <v>Lower Class</v>
      </c>
      <c r="H235">
        <v>0</v>
      </c>
      <c r="I235" t="s">
        <v>15</v>
      </c>
      <c r="J235" t="s">
        <v>22</v>
      </c>
      <c r="K235" t="s">
        <v>17</v>
      </c>
      <c r="L235" t="str">
        <f t="shared" si="18"/>
        <v>Home Owner</v>
      </c>
      <c r="M235">
        <v>0</v>
      </c>
      <c r="N235" t="s">
        <v>18</v>
      </c>
      <c r="O235" t="s">
        <v>27</v>
      </c>
      <c r="P235">
        <v>27</v>
      </c>
      <c r="Q235" t="str">
        <f t="shared" si="19"/>
        <v>25 to 34 yrs</v>
      </c>
      <c r="R235" t="s">
        <v>17</v>
      </c>
    </row>
    <row r="236" spans="1:18">
      <c r="A236">
        <v>24611</v>
      </c>
      <c r="B236" t="s">
        <v>25</v>
      </c>
      <c r="C236" t="str">
        <f t="shared" si="15"/>
        <v>Single</v>
      </c>
      <c r="D236" t="s">
        <v>13</v>
      </c>
      <c r="E236" t="str">
        <f t="shared" si="16"/>
        <v>Male</v>
      </c>
      <c r="F236" s="3">
        <v>90000</v>
      </c>
      <c r="G236" s="3" t="str">
        <f t="shared" si="17"/>
        <v>Middle Class</v>
      </c>
      <c r="H236">
        <v>0</v>
      </c>
      <c r="I236" t="s">
        <v>15</v>
      </c>
      <c r="J236" t="s">
        <v>23</v>
      </c>
      <c r="K236" t="s">
        <v>20</v>
      </c>
      <c r="L236" t="str">
        <f t="shared" si="18"/>
        <v>Tenant</v>
      </c>
      <c r="M236">
        <v>4</v>
      </c>
      <c r="N236" t="s">
        <v>33</v>
      </c>
      <c r="O236" t="s">
        <v>27</v>
      </c>
      <c r="P236">
        <v>35</v>
      </c>
      <c r="Q236" t="str">
        <f t="shared" si="19"/>
        <v>35 to 44 yrs</v>
      </c>
      <c r="R236" t="s">
        <v>17</v>
      </c>
    </row>
    <row r="237" spans="1:18">
      <c r="A237">
        <v>11340</v>
      </c>
      <c r="B237" t="s">
        <v>13</v>
      </c>
      <c r="C237" t="str">
        <f t="shared" si="15"/>
        <v>Married</v>
      </c>
      <c r="D237" t="s">
        <v>14</v>
      </c>
      <c r="E237" t="str">
        <f t="shared" si="16"/>
        <v>Female</v>
      </c>
      <c r="F237" s="3">
        <v>10000</v>
      </c>
      <c r="G237" s="3" t="str">
        <f t="shared" si="17"/>
        <v>Lower Class</v>
      </c>
      <c r="H237">
        <v>1</v>
      </c>
      <c r="I237" t="s">
        <v>34</v>
      </c>
      <c r="J237" t="s">
        <v>22</v>
      </c>
      <c r="K237" t="s">
        <v>17</v>
      </c>
      <c r="L237" t="str">
        <f t="shared" si="18"/>
        <v>Home Owner</v>
      </c>
      <c r="M237">
        <v>0</v>
      </c>
      <c r="N237" t="s">
        <v>18</v>
      </c>
      <c r="O237" t="s">
        <v>19</v>
      </c>
      <c r="P237">
        <v>70</v>
      </c>
      <c r="Q237" t="str">
        <f t="shared" si="19"/>
        <v>65 yrs &amp; Above</v>
      </c>
      <c r="R237" t="s">
        <v>17</v>
      </c>
    </row>
    <row r="238" spans="1:18">
      <c r="A238">
        <v>25693</v>
      </c>
      <c r="B238" t="s">
        <v>25</v>
      </c>
      <c r="C238" t="str">
        <f t="shared" si="15"/>
        <v>Single</v>
      </c>
      <c r="D238" t="s">
        <v>14</v>
      </c>
      <c r="E238" t="str">
        <f t="shared" si="16"/>
        <v>Female</v>
      </c>
      <c r="F238" s="3">
        <v>30000</v>
      </c>
      <c r="G238" s="3" t="str">
        <f t="shared" si="17"/>
        <v>Lower Class</v>
      </c>
      <c r="H238">
        <v>5</v>
      </c>
      <c r="I238" t="s">
        <v>34</v>
      </c>
      <c r="J238" t="s">
        <v>22</v>
      </c>
      <c r="K238" t="s">
        <v>17</v>
      </c>
      <c r="L238" t="str">
        <f t="shared" si="18"/>
        <v>Home Owner</v>
      </c>
      <c r="M238">
        <v>0</v>
      </c>
      <c r="N238" t="s">
        <v>18</v>
      </c>
      <c r="O238" t="s">
        <v>19</v>
      </c>
      <c r="P238">
        <v>44</v>
      </c>
      <c r="Q238" t="str">
        <f t="shared" si="19"/>
        <v>35 to 44 yrs</v>
      </c>
      <c r="R238" t="s">
        <v>17</v>
      </c>
    </row>
    <row r="239" spans="1:18">
      <c r="A239">
        <v>25555</v>
      </c>
      <c r="B239" t="s">
        <v>13</v>
      </c>
      <c r="C239" t="str">
        <f t="shared" si="15"/>
        <v>Married</v>
      </c>
      <c r="D239" t="s">
        <v>14</v>
      </c>
      <c r="E239" t="str">
        <f t="shared" si="16"/>
        <v>Female</v>
      </c>
      <c r="F239" s="3">
        <v>10000</v>
      </c>
      <c r="G239" s="3" t="str">
        <f t="shared" si="17"/>
        <v>Lower Class</v>
      </c>
      <c r="H239">
        <v>0</v>
      </c>
      <c r="I239" t="s">
        <v>21</v>
      </c>
      <c r="J239" t="s">
        <v>28</v>
      </c>
      <c r="K239" t="s">
        <v>20</v>
      </c>
      <c r="L239" t="str">
        <f t="shared" si="18"/>
        <v>Tenant</v>
      </c>
      <c r="M239">
        <v>1</v>
      </c>
      <c r="N239" t="s">
        <v>18</v>
      </c>
      <c r="O239" t="s">
        <v>27</v>
      </c>
      <c r="P239">
        <v>26</v>
      </c>
      <c r="Q239" t="str">
        <f t="shared" si="19"/>
        <v>25 to 34 yrs</v>
      </c>
      <c r="R239" t="s">
        <v>17</v>
      </c>
    </row>
    <row r="240" spans="1:18">
      <c r="A240">
        <v>22006</v>
      </c>
      <c r="B240" t="s">
        <v>13</v>
      </c>
      <c r="C240" t="str">
        <f t="shared" si="15"/>
        <v>Married</v>
      </c>
      <c r="D240" t="s">
        <v>13</v>
      </c>
      <c r="E240" t="str">
        <f t="shared" si="16"/>
        <v>Male</v>
      </c>
      <c r="F240" s="3">
        <v>70000</v>
      </c>
      <c r="G240" s="3" t="str">
        <f t="shared" si="17"/>
        <v>Middle Class</v>
      </c>
      <c r="H240">
        <v>5</v>
      </c>
      <c r="I240" t="s">
        <v>21</v>
      </c>
      <c r="J240" t="s">
        <v>16</v>
      </c>
      <c r="K240" t="s">
        <v>17</v>
      </c>
      <c r="L240" t="str">
        <f t="shared" si="18"/>
        <v>Home Owner</v>
      </c>
      <c r="M240">
        <v>3</v>
      </c>
      <c r="N240" t="s">
        <v>26</v>
      </c>
      <c r="O240" t="s">
        <v>27</v>
      </c>
      <c r="P240">
        <v>46</v>
      </c>
      <c r="Q240" t="str">
        <f t="shared" si="19"/>
        <v>45 to 54 yrs</v>
      </c>
      <c r="R240" t="s">
        <v>20</v>
      </c>
    </row>
    <row r="241" spans="1:18">
      <c r="A241">
        <v>20060</v>
      </c>
      <c r="B241" t="s">
        <v>25</v>
      </c>
      <c r="C241" t="str">
        <f t="shared" si="15"/>
        <v>Single</v>
      </c>
      <c r="D241" t="s">
        <v>14</v>
      </c>
      <c r="E241" t="str">
        <f t="shared" si="16"/>
        <v>Female</v>
      </c>
      <c r="F241" s="3">
        <v>30000</v>
      </c>
      <c r="G241" s="3" t="str">
        <f t="shared" si="17"/>
        <v>Lower Class</v>
      </c>
      <c r="H241">
        <v>0</v>
      </c>
      <c r="I241" t="s">
        <v>30</v>
      </c>
      <c r="J241" t="s">
        <v>28</v>
      </c>
      <c r="K241" t="s">
        <v>20</v>
      </c>
      <c r="L241" t="str">
        <f t="shared" si="18"/>
        <v>Tenant</v>
      </c>
      <c r="M241">
        <v>1</v>
      </c>
      <c r="N241" t="s">
        <v>24</v>
      </c>
      <c r="O241" t="s">
        <v>19</v>
      </c>
      <c r="P241">
        <v>34</v>
      </c>
      <c r="Q241" t="str">
        <f t="shared" si="19"/>
        <v>25 to 34 yrs</v>
      </c>
      <c r="R241" t="s">
        <v>17</v>
      </c>
    </row>
    <row r="242" spans="1:18">
      <c r="A242">
        <v>17702</v>
      </c>
      <c r="B242" t="s">
        <v>13</v>
      </c>
      <c r="C242" t="str">
        <f t="shared" si="15"/>
        <v>Married</v>
      </c>
      <c r="D242" t="s">
        <v>13</v>
      </c>
      <c r="E242" t="str">
        <f t="shared" si="16"/>
        <v>Male</v>
      </c>
      <c r="F242" s="3">
        <v>10000</v>
      </c>
      <c r="G242" s="3" t="str">
        <f t="shared" si="17"/>
        <v>Lower Class</v>
      </c>
      <c r="H242">
        <v>1</v>
      </c>
      <c r="I242" t="s">
        <v>34</v>
      </c>
      <c r="J242" t="s">
        <v>28</v>
      </c>
      <c r="K242" t="s">
        <v>17</v>
      </c>
      <c r="L242" t="str">
        <f t="shared" si="18"/>
        <v>Home Owner</v>
      </c>
      <c r="M242">
        <v>0</v>
      </c>
      <c r="N242" t="s">
        <v>18</v>
      </c>
      <c r="O242" t="s">
        <v>19</v>
      </c>
      <c r="P242">
        <v>37</v>
      </c>
      <c r="Q242" t="str">
        <f t="shared" si="19"/>
        <v>35 to 44 yrs</v>
      </c>
      <c r="R242" t="s">
        <v>20</v>
      </c>
    </row>
    <row r="243" spans="1:18">
      <c r="A243">
        <v>12503</v>
      </c>
      <c r="B243" t="s">
        <v>25</v>
      </c>
      <c r="C243" t="str">
        <f t="shared" si="15"/>
        <v>Single</v>
      </c>
      <c r="D243" t="s">
        <v>14</v>
      </c>
      <c r="E243" t="str">
        <f t="shared" si="16"/>
        <v>Female</v>
      </c>
      <c r="F243" s="3">
        <v>30000</v>
      </c>
      <c r="G243" s="3" t="str">
        <f t="shared" si="17"/>
        <v>Lower Class</v>
      </c>
      <c r="H243">
        <v>3</v>
      </c>
      <c r="I243" t="s">
        <v>21</v>
      </c>
      <c r="J243" t="s">
        <v>22</v>
      </c>
      <c r="K243" t="s">
        <v>17</v>
      </c>
      <c r="L243" t="str">
        <f t="shared" si="18"/>
        <v>Home Owner</v>
      </c>
      <c r="M243">
        <v>2</v>
      </c>
      <c r="N243" t="s">
        <v>18</v>
      </c>
      <c r="O243" t="s">
        <v>19</v>
      </c>
      <c r="P243">
        <v>27</v>
      </c>
      <c r="Q243" t="str">
        <f t="shared" si="19"/>
        <v>25 to 34 yrs</v>
      </c>
      <c r="R243" t="s">
        <v>20</v>
      </c>
    </row>
    <row r="244" spans="1:18">
      <c r="A244">
        <v>23908</v>
      </c>
      <c r="B244" t="s">
        <v>25</v>
      </c>
      <c r="C244" t="str">
        <f t="shared" si="15"/>
        <v>Single</v>
      </c>
      <c r="D244" t="s">
        <v>13</v>
      </c>
      <c r="E244" t="str">
        <f t="shared" si="16"/>
        <v>Male</v>
      </c>
      <c r="F244" s="3">
        <v>30000</v>
      </c>
      <c r="G244" s="3" t="str">
        <f t="shared" si="17"/>
        <v>Lower Class</v>
      </c>
      <c r="H244">
        <v>1</v>
      </c>
      <c r="I244" t="s">
        <v>15</v>
      </c>
      <c r="J244" t="s">
        <v>22</v>
      </c>
      <c r="K244" t="s">
        <v>20</v>
      </c>
      <c r="L244" t="str">
        <f t="shared" si="18"/>
        <v>Tenant</v>
      </c>
      <c r="M244">
        <v>1</v>
      </c>
      <c r="N244" t="s">
        <v>18</v>
      </c>
      <c r="O244" t="s">
        <v>19</v>
      </c>
      <c r="P244">
        <v>39</v>
      </c>
      <c r="Q244" t="str">
        <f t="shared" si="19"/>
        <v>35 to 44 yrs</v>
      </c>
      <c r="R244" t="s">
        <v>17</v>
      </c>
    </row>
    <row r="245" spans="1:18">
      <c r="A245">
        <v>22527</v>
      </c>
      <c r="B245" t="s">
        <v>25</v>
      </c>
      <c r="C245" t="str">
        <f t="shared" si="15"/>
        <v>Single</v>
      </c>
      <c r="D245" t="s">
        <v>14</v>
      </c>
      <c r="E245" t="str">
        <f t="shared" si="16"/>
        <v>Female</v>
      </c>
      <c r="F245" s="3">
        <v>20000</v>
      </c>
      <c r="G245" s="3" t="str">
        <f t="shared" si="17"/>
        <v>Lower Class</v>
      </c>
      <c r="H245">
        <v>0</v>
      </c>
      <c r="I245" t="s">
        <v>30</v>
      </c>
      <c r="J245" t="s">
        <v>28</v>
      </c>
      <c r="K245" t="s">
        <v>20</v>
      </c>
      <c r="L245" t="str">
        <f t="shared" si="18"/>
        <v>Tenant</v>
      </c>
      <c r="M245">
        <v>1</v>
      </c>
      <c r="N245" t="s">
        <v>24</v>
      </c>
      <c r="O245" t="s">
        <v>19</v>
      </c>
      <c r="P245">
        <v>29</v>
      </c>
      <c r="Q245" t="str">
        <f t="shared" si="19"/>
        <v>25 to 34 yrs</v>
      </c>
      <c r="R245" t="s">
        <v>20</v>
      </c>
    </row>
    <row r="246" spans="1:18">
      <c r="A246">
        <v>19057</v>
      </c>
      <c r="B246" t="s">
        <v>13</v>
      </c>
      <c r="C246" t="str">
        <f t="shared" si="15"/>
        <v>Married</v>
      </c>
      <c r="D246" t="s">
        <v>14</v>
      </c>
      <c r="E246" t="str">
        <f t="shared" si="16"/>
        <v>Female</v>
      </c>
      <c r="F246" s="3">
        <v>120000</v>
      </c>
      <c r="G246" s="3" t="str">
        <f t="shared" si="17"/>
        <v>Upper Middle Class</v>
      </c>
      <c r="H246">
        <v>3</v>
      </c>
      <c r="I246" t="s">
        <v>15</v>
      </c>
      <c r="J246" t="s">
        <v>31</v>
      </c>
      <c r="K246" t="s">
        <v>20</v>
      </c>
      <c r="L246" t="str">
        <f t="shared" si="18"/>
        <v>Tenant</v>
      </c>
      <c r="M246">
        <v>2</v>
      </c>
      <c r="N246" t="s">
        <v>33</v>
      </c>
      <c r="O246" t="s">
        <v>19</v>
      </c>
      <c r="P246">
        <v>52</v>
      </c>
      <c r="Q246" t="str">
        <f t="shared" si="19"/>
        <v>45 to 54 yrs</v>
      </c>
      <c r="R246" t="s">
        <v>17</v>
      </c>
    </row>
    <row r="247" spans="1:18">
      <c r="A247">
        <v>18494</v>
      </c>
      <c r="B247" t="s">
        <v>13</v>
      </c>
      <c r="C247" t="str">
        <f t="shared" si="15"/>
        <v>Married</v>
      </c>
      <c r="D247" t="s">
        <v>13</v>
      </c>
      <c r="E247" t="str">
        <f t="shared" si="16"/>
        <v>Male</v>
      </c>
      <c r="F247" s="3">
        <v>110000</v>
      </c>
      <c r="G247" s="3" t="str">
        <f t="shared" si="17"/>
        <v>Middle Class</v>
      </c>
      <c r="H247">
        <v>5</v>
      </c>
      <c r="I247" t="s">
        <v>15</v>
      </c>
      <c r="J247" t="s">
        <v>31</v>
      </c>
      <c r="K247" t="s">
        <v>17</v>
      </c>
      <c r="L247" t="str">
        <f t="shared" si="18"/>
        <v>Home Owner</v>
      </c>
      <c r="M247">
        <v>4</v>
      </c>
      <c r="N247" t="s">
        <v>24</v>
      </c>
      <c r="O247" t="s">
        <v>27</v>
      </c>
      <c r="P247">
        <v>48</v>
      </c>
      <c r="Q247" t="str">
        <f t="shared" si="19"/>
        <v>45 to 54 yrs</v>
      </c>
      <c r="R247" t="s">
        <v>17</v>
      </c>
    </row>
    <row r="248" spans="1:18">
      <c r="A248">
        <v>11249</v>
      </c>
      <c r="B248" t="s">
        <v>13</v>
      </c>
      <c r="C248" t="str">
        <f t="shared" si="15"/>
        <v>Married</v>
      </c>
      <c r="D248" t="s">
        <v>14</v>
      </c>
      <c r="E248" t="str">
        <f t="shared" si="16"/>
        <v>Female</v>
      </c>
      <c r="F248" s="3">
        <v>130000</v>
      </c>
      <c r="G248" s="3" t="str">
        <f t="shared" si="17"/>
        <v>Upper Middle Class</v>
      </c>
      <c r="H248">
        <v>3</v>
      </c>
      <c r="I248" t="s">
        <v>21</v>
      </c>
      <c r="J248" t="s">
        <v>23</v>
      </c>
      <c r="K248" t="s">
        <v>17</v>
      </c>
      <c r="L248" t="str">
        <f t="shared" si="18"/>
        <v>Home Owner</v>
      </c>
      <c r="M248">
        <v>3</v>
      </c>
      <c r="N248" t="s">
        <v>18</v>
      </c>
      <c r="O248" t="s">
        <v>19</v>
      </c>
      <c r="P248">
        <v>51</v>
      </c>
      <c r="Q248" t="str">
        <f t="shared" si="19"/>
        <v>45 to 54 yrs</v>
      </c>
      <c r="R248" t="s">
        <v>17</v>
      </c>
    </row>
    <row r="249" spans="1:18">
      <c r="A249">
        <v>21568</v>
      </c>
      <c r="B249" t="s">
        <v>13</v>
      </c>
      <c r="C249" t="str">
        <f t="shared" si="15"/>
        <v>Married</v>
      </c>
      <c r="D249" t="s">
        <v>14</v>
      </c>
      <c r="E249" t="str">
        <f t="shared" si="16"/>
        <v>Female</v>
      </c>
      <c r="F249" s="3">
        <v>100000</v>
      </c>
      <c r="G249" s="3" t="str">
        <f t="shared" si="17"/>
        <v>Middle Class</v>
      </c>
      <c r="H249">
        <v>0</v>
      </c>
      <c r="I249" t="s">
        <v>30</v>
      </c>
      <c r="J249" t="s">
        <v>31</v>
      </c>
      <c r="K249" t="s">
        <v>17</v>
      </c>
      <c r="L249" t="str">
        <f t="shared" si="18"/>
        <v>Home Owner</v>
      </c>
      <c r="M249">
        <v>4</v>
      </c>
      <c r="N249" t="s">
        <v>33</v>
      </c>
      <c r="O249" t="s">
        <v>27</v>
      </c>
      <c r="P249">
        <v>34</v>
      </c>
      <c r="Q249" t="str">
        <f t="shared" si="19"/>
        <v>25 to 34 yrs</v>
      </c>
      <c r="R249" t="s">
        <v>17</v>
      </c>
    </row>
    <row r="250" spans="1:18">
      <c r="A250">
        <v>13981</v>
      </c>
      <c r="B250" t="s">
        <v>13</v>
      </c>
      <c r="C250" t="str">
        <f t="shared" si="15"/>
        <v>Married</v>
      </c>
      <c r="D250" t="s">
        <v>14</v>
      </c>
      <c r="E250" t="str">
        <f t="shared" si="16"/>
        <v>Female</v>
      </c>
      <c r="F250" s="3">
        <v>10000</v>
      </c>
      <c r="G250" s="3" t="str">
        <f t="shared" si="17"/>
        <v>Lower Class</v>
      </c>
      <c r="H250">
        <v>5</v>
      </c>
      <c r="I250" t="s">
        <v>30</v>
      </c>
      <c r="J250" t="s">
        <v>16</v>
      </c>
      <c r="K250" t="s">
        <v>20</v>
      </c>
      <c r="L250" t="str">
        <f t="shared" si="18"/>
        <v>Tenant</v>
      </c>
      <c r="M250">
        <v>3</v>
      </c>
      <c r="N250" t="s">
        <v>29</v>
      </c>
      <c r="O250" t="s">
        <v>27</v>
      </c>
      <c r="P250">
        <v>62</v>
      </c>
      <c r="Q250" t="str">
        <f t="shared" si="19"/>
        <v>55 to 64 yrs</v>
      </c>
      <c r="R250" t="s">
        <v>20</v>
      </c>
    </row>
    <row r="251" spans="1:18">
      <c r="A251">
        <v>23432</v>
      </c>
      <c r="B251" t="s">
        <v>25</v>
      </c>
      <c r="C251" t="str">
        <f t="shared" si="15"/>
        <v>Single</v>
      </c>
      <c r="D251" t="s">
        <v>13</v>
      </c>
      <c r="E251" t="str">
        <f t="shared" si="16"/>
        <v>Male</v>
      </c>
      <c r="F251" s="3">
        <v>70000</v>
      </c>
      <c r="G251" s="3" t="str">
        <f t="shared" si="17"/>
        <v>Middle Class</v>
      </c>
      <c r="H251">
        <v>0</v>
      </c>
      <c r="I251" t="s">
        <v>15</v>
      </c>
      <c r="J251" t="s">
        <v>23</v>
      </c>
      <c r="K251" t="s">
        <v>17</v>
      </c>
      <c r="L251" t="str">
        <f t="shared" si="18"/>
        <v>Home Owner</v>
      </c>
      <c r="M251">
        <v>1</v>
      </c>
      <c r="N251" t="s">
        <v>26</v>
      </c>
      <c r="O251" t="s">
        <v>27</v>
      </c>
      <c r="P251">
        <v>37</v>
      </c>
      <c r="Q251" t="str">
        <f t="shared" si="19"/>
        <v>35 to 44 yrs</v>
      </c>
      <c r="R251" t="s">
        <v>17</v>
      </c>
    </row>
    <row r="252" spans="1:18">
      <c r="A252">
        <v>22931</v>
      </c>
      <c r="B252" t="s">
        <v>13</v>
      </c>
      <c r="C252" t="str">
        <f t="shared" si="15"/>
        <v>Married</v>
      </c>
      <c r="D252" t="s">
        <v>13</v>
      </c>
      <c r="E252" t="str">
        <f t="shared" si="16"/>
        <v>Male</v>
      </c>
      <c r="F252" s="3">
        <v>100000</v>
      </c>
      <c r="G252" s="3" t="str">
        <f t="shared" si="17"/>
        <v>Middle Class</v>
      </c>
      <c r="H252">
        <v>5</v>
      </c>
      <c r="I252" t="s">
        <v>34</v>
      </c>
      <c r="J252" t="s">
        <v>31</v>
      </c>
      <c r="K252" t="s">
        <v>20</v>
      </c>
      <c r="L252" t="str">
        <f t="shared" si="18"/>
        <v>Tenant</v>
      </c>
      <c r="M252">
        <v>1</v>
      </c>
      <c r="N252" t="s">
        <v>29</v>
      </c>
      <c r="O252" t="s">
        <v>27</v>
      </c>
      <c r="P252">
        <v>78</v>
      </c>
      <c r="Q252" t="str">
        <f t="shared" si="19"/>
        <v>65 yrs &amp; Above</v>
      </c>
      <c r="R252" t="s">
        <v>17</v>
      </c>
    </row>
    <row r="253" spans="1:18">
      <c r="A253">
        <v>18172</v>
      </c>
      <c r="B253" t="s">
        <v>13</v>
      </c>
      <c r="C253" t="str">
        <f t="shared" si="15"/>
        <v>Married</v>
      </c>
      <c r="D253" t="s">
        <v>13</v>
      </c>
      <c r="E253" t="str">
        <f t="shared" si="16"/>
        <v>Male</v>
      </c>
      <c r="F253" s="3">
        <v>130000</v>
      </c>
      <c r="G253" s="3" t="str">
        <f t="shared" si="17"/>
        <v>Upper Middle Class</v>
      </c>
      <c r="H253">
        <v>4</v>
      </c>
      <c r="I253" t="s">
        <v>30</v>
      </c>
      <c r="J253" t="s">
        <v>23</v>
      </c>
      <c r="K253" t="s">
        <v>17</v>
      </c>
      <c r="L253" t="str">
        <f t="shared" si="18"/>
        <v>Home Owner</v>
      </c>
      <c r="M253">
        <v>3</v>
      </c>
      <c r="N253" t="s">
        <v>18</v>
      </c>
      <c r="O253" t="s">
        <v>19</v>
      </c>
      <c r="P253">
        <v>55</v>
      </c>
      <c r="Q253" t="str">
        <f t="shared" si="19"/>
        <v>55 to 64 yrs</v>
      </c>
      <c r="R253" t="s">
        <v>20</v>
      </c>
    </row>
    <row r="254" spans="1:18">
      <c r="A254">
        <v>12666</v>
      </c>
      <c r="B254" t="s">
        <v>25</v>
      </c>
      <c r="C254" t="str">
        <f t="shared" si="15"/>
        <v>Single</v>
      </c>
      <c r="D254" t="s">
        <v>13</v>
      </c>
      <c r="E254" t="str">
        <f t="shared" si="16"/>
        <v>Male</v>
      </c>
      <c r="F254" s="3">
        <v>60000</v>
      </c>
      <c r="G254" s="3" t="str">
        <f t="shared" si="17"/>
        <v>Middle Class</v>
      </c>
      <c r="H254">
        <v>0</v>
      </c>
      <c r="I254" t="s">
        <v>15</v>
      </c>
      <c r="J254" t="s">
        <v>23</v>
      </c>
      <c r="K254" t="s">
        <v>20</v>
      </c>
      <c r="L254" t="str">
        <f t="shared" si="18"/>
        <v>Tenant</v>
      </c>
      <c r="M254">
        <v>4</v>
      </c>
      <c r="N254" t="s">
        <v>24</v>
      </c>
      <c r="O254" t="s">
        <v>27</v>
      </c>
      <c r="P254">
        <v>31</v>
      </c>
      <c r="Q254" t="str">
        <f t="shared" si="19"/>
        <v>25 to 34 yrs</v>
      </c>
      <c r="R254" t="s">
        <v>20</v>
      </c>
    </row>
    <row r="255" spans="1:18">
      <c r="A255">
        <v>20598</v>
      </c>
      <c r="B255" t="s">
        <v>13</v>
      </c>
      <c r="C255" t="str">
        <f t="shared" si="15"/>
        <v>Married</v>
      </c>
      <c r="D255" t="s">
        <v>13</v>
      </c>
      <c r="E255" t="str">
        <f t="shared" si="16"/>
        <v>Male</v>
      </c>
      <c r="F255" s="3">
        <v>100000</v>
      </c>
      <c r="G255" s="3" t="str">
        <f t="shared" si="17"/>
        <v>Middle Class</v>
      </c>
      <c r="H255">
        <v>3</v>
      </c>
      <c r="I255" t="s">
        <v>32</v>
      </c>
      <c r="J255" t="s">
        <v>23</v>
      </c>
      <c r="K255" t="s">
        <v>17</v>
      </c>
      <c r="L255" t="str">
        <f t="shared" si="18"/>
        <v>Home Owner</v>
      </c>
      <c r="M255">
        <v>0</v>
      </c>
      <c r="N255" t="s">
        <v>33</v>
      </c>
      <c r="O255" t="s">
        <v>19</v>
      </c>
      <c r="P255">
        <v>59</v>
      </c>
      <c r="Q255" t="str">
        <f t="shared" si="19"/>
        <v>55 to 64 yrs</v>
      </c>
      <c r="R255" t="s">
        <v>17</v>
      </c>
    </row>
    <row r="256" spans="1:18">
      <c r="A256">
        <v>21375</v>
      </c>
      <c r="B256" t="s">
        <v>25</v>
      </c>
      <c r="C256" t="str">
        <f t="shared" si="15"/>
        <v>Single</v>
      </c>
      <c r="D256" t="s">
        <v>13</v>
      </c>
      <c r="E256" t="str">
        <f t="shared" si="16"/>
        <v>Male</v>
      </c>
      <c r="F256" s="3">
        <v>20000</v>
      </c>
      <c r="G256" s="3" t="str">
        <f t="shared" si="17"/>
        <v>Lower Class</v>
      </c>
      <c r="H256">
        <v>2</v>
      </c>
      <c r="I256" t="s">
        <v>32</v>
      </c>
      <c r="J256" t="s">
        <v>22</v>
      </c>
      <c r="K256" t="s">
        <v>17</v>
      </c>
      <c r="L256" t="str">
        <f t="shared" si="18"/>
        <v>Home Owner</v>
      </c>
      <c r="M256">
        <v>2</v>
      </c>
      <c r="N256" t="s">
        <v>26</v>
      </c>
      <c r="O256" t="s">
        <v>27</v>
      </c>
      <c r="P256">
        <v>57</v>
      </c>
      <c r="Q256" t="str">
        <f t="shared" si="19"/>
        <v>55 to 64 yrs</v>
      </c>
      <c r="R256" t="s">
        <v>20</v>
      </c>
    </row>
    <row r="257" spans="1:18">
      <c r="A257">
        <v>20839</v>
      </c>
      <c r="B257" t="s">
        <v>25</v>
      </c>
      <c r="C257" t="str">
        <f t="shared" si="15"/>
        <v>Single</v>
      </c>
      <c r="D257" t="s">
        <v>14</v>
      </c>
      <c r="E257" t="str">
        <f t="shared" si="16"/>
        <v>Female</v>
      </c>
      <c r="F257" s="3">
        <v>30000</v>
      </c>
      <c r="G257" s="3" t="str">
        <f t="shared" si="17"/>
        <v>Lower Class</v>
      </c>
      <c r="H257">
        <v>3</v>
      </c>
      <c r="I257" t="s">
        <v>34</v>
      </c>
      <c r="J257" t="s">
        <v>22</v>
      </c>
      <c r="K257" t="s">
        <v>17</v>
      </c>
      <c r="L257" t="str">
        <f t="shared" si="18"/>
        <v>Home Owner</v>
      </c>
      <c r="M257">
        <v>0</v>
      </c>
      <c r="N257" t="s">
        <v>18</v>
      </c>
      <c r="O257" t="s">
        <v>19</v>
      </c>
      <c r="P257">
        <v>47</v>
      </c>
      <c r="Q257" t="str">
        <f t="shared" si="19"/>
        <v>45 to 54 yrs</v>
      </c>
      <c r="R257" t="s">
        <v>17</v>
      </c>
    </row>
    <row r="258" spans="1:18">
      <c r="A258">
        <v>21738</v>
      </c>
      <c r="B258" t="s">
        <v>13</v>
      </c>
      <c r="C258" t="str">
        <f t="shared" si="15"/>
        <v>Married</v>
      </c>
      <c r="D258" t="s">
        <v>13</v>
      </c>
      <c r="E258" t="str">
        <f t="shared" si="16"/>
        <v>Male</v>
      </c>
      <c r="F258" s="3">
        <v>20000</v>
      </c>
      <c r="G258" s="3" t="str">
        <f t="shared" si="17"/>
        <v>Lower Class</v>
      </c>
      <c r="H258">
        <v>1</v>
      </c>
      <c r="I258" t="s">
        <v>34</v>
      </c>
      <c r="J258" t="s">
        <v>22</v>
      </c>
      <c r="K258" t="s">
        <v>17</v>
      </c>
      <c r="L258" t="str">
        <f t="shared" si="18"/>
        <v>Home Owner</v>
      </c>
      <c r="M258">
        <v>0</v>
      </c>
      <c r="N258" t="s">
        <v>18</v>
      </c>
      <c r="O258" t="s">
        <v>19</v>
      </c>
      <c r="P258">
        <v>43</v>
      </c>
      <c r="Q258" t="str">
        <f t="shared" si="19"/>
        <v>35 to 44 yrs</v>
      </c>
      <c r="R258" t="s">
        <v>20</v>
      </c>
    </row>
    <row r="259" spans="1:18">
      <c r="A259">
        <v>14164</v>
      </c>
      <c r="B259" t="s">
        <v>25</v>
      </c>
      <c r="C259" t="str">
        <f t="shared" ref="C259:C322" si="20">IF($B$2:$B$1001="M", "Married","Single")</f>
        <v>Single</v>
      </c>
      <c r="D259" t="s">
        <v>14</v>
      </c>
      <c r="E259" t="str">
        <f t="shared" ref="E259:E322" si="21">IF($D$2:$D$1001="F", "Female", "Male")</f>
        <v>Female</v>
      </c>
      <c r="F259" s="3">
        <v>50000</v>
      </c>
      <c r="G259" s="3" t="str">
        <f t="shared" ref="G259:G322" si="22">_xlfn.IFS(F259&lt;=57375,"Lower Class",F259&lt;=114750,"Middle Class",F259&lt;=253414,"Upper Middle Class",TRUE,"Upper Class")</f>
        <v>Lower Class</v>
      </c>
      <c r="H259">
        <v>0</v>
      </c>
      <c r="I259" t="s">
        <v>34</v>
      </c>
      <c r="J259" t="s">
        <v>16</v>
      </c>
      <c r="K259" t="s">
        <v>17</v>
      </c>
      <c r="L259" t="str">
        <f t="shared" ref="L259:L322" si="23">IF($K$2:$K$1001="Yes", "Home Owner","Tenant")</f>
        <v>Home Owner</v>
      </c>
      <c r="M259">
        <v>0</v>
      </c>
      <c r="N259" t="s">
        <v>18</v>
      </c>
      <c r="O259" t="s">
        <v>19</v>
      </c>
      <c r="P259">
        <v>36</v>
      </c>
      <c r="Q259" t="str">
        <f t="shared" ref="Q259:Q322" si="24">_xlfn.IFS(P259&lt;25,"Less than 25 yrs",P259&lt;35,"25 to 34 yrs",P259&lt;45,"35 to 44 yrs",P259&lt;55,"45 to 54 yrs",P259&lt;65,"55 to 64 yrs", TRUE, "65 yrs &amp; Above")</f>
        <v>35 to 44 yrs</v>
      </c>
      <c r="R259" t="s">
        <v>17</v>
      </c>
    </row>
    <row r="260" spans="1:18">
      <c r="A260">
        <v>14193</v>
      </c>
      <c r="B260" t="s">
        <v>25</v>
      </c>
      <c r="C260" t="str">
        <f t="shared" si="20"/>
        <v>Single</v>
      </c>
      <c r="D260" t="s">
        <v>14</v>
      </c>
      <c r="E260" t="str">
        <f t="shared" si="21"/>
        <v>Female</v>
      </c>
      <c r="F260" s="3">
        <v>100000</v>
      </c>
      <c r="G260" s="3" t="str">
        <f t="shared" si="22"/>
        <v>Middle Class</v>
      </c>
      <c r="H260">
        <v>3</v>
      </c>
      <c r="I260" t="s">
        <v>21</v>
      </c>
      <c r="J260" t="s">
        <v>31</v>
      </c>
      <c r="K260" t="s">
        <v>17</v>
      </c>
      <c r="L260" t="str">
        <f t="shared" si="23"/>
        <v>Home Owner</v>
      </c>
      <c r="M260">
        <v>4</v>
      </c>
      <c r="N260" t="s">
        <v>33</v>
      </c>
      <c r="O260" t="s">
        <v>19</v>
      </c>
      <c r="P260">
        <v>56</v>
      </c>
      <c r="Q260" t="str">
        <f t="shared" si="24"/>
        <v>55 to 64 yrs</v>
      </c>
      <c r="R260" t="s">
        <v>20</v>
      </c>
    </row>
    <row r="261" spans="1:18">
      <c r="A261">
        <v>12705</v>
      </c>
      <c r="B261" t="s">
        <v>13</v>
      </c>
      <c r="C261" t="str">
        <f t="shared" si="20"/>
        <v>Married</v>
      </c>
      <c r="D261" t="s">
        <v>13</v>
      </c>
      <c r="E261" t="str">
        <f t="shared" si="21"/>
        <v>Male</v>
      </c>
      <c r="F261" s="3">
        <v>150000</v>
      </c>
      <c r="G261" s="3" t="str">
        <f t="shared" si="22"/>
        <v>Upper Middle Class</v>
      </c>
      <c r="H261">
        <v>0</v>
      </c>
      <c r="I261" t="s">
        <v>15</v>
      </c>
      <c r="J261" t="s">
        <v>31</v>
      </c>
      <c r="K261" t="s">
        <v>17</v>
      </c>
      <c r="L261" t="str">
        <f t="shared" si="23"/>
        <v>Home Owner</v>
      </c>
      <c r="M261">
        <v>4</v>
      </c>
      <c r="N261" t="s">
        <v>18</v>
      </c>
      <c r="O261" t="s">
        <v>27</v>
      </c>
      <c r="P261">
        <v>37</v>
      </c>
      <c r="Q261" t="str">
        <f t="shared" si="24"/>
        <v>35 to 44 yrs</v>
      </c>
      <c r="R261" t="s">
        <v>17</v>
      </c>
    </row>
    <row r="262" spans="1:18">
      <c r="A262">
        <v>22672</v>
      </c>
      <c r="B262" t="s">
        <v>25</v>
      </c>
      <c r="C262" t="str">
        <f t="shared" si="20"/>
        <v>Single</v>
      </c>
      <c r="D262" t="s">
        <v>14</v>
      </c>
      <c r="E262" t="str">
        <f t="shared" si="21"/>
        <v>Female</v>
      </c>
      <c r="F262" s="3">
        <v>30000</v>
      </c>
      <c r="G262" s="3" t="str">
        <f t="shared" si="22"/>
        <v>Lower Class</v>
      </c>
      <c r="H262">
        <v>2</v>
      </c>
      <c r="I262" t="s">
        <v>21</v>
      </c>
      <c r="J262" t="s">
        <v>22</v>
      </c>
      <c r="K262" t="s">
        <v>17</v>
      </c>
      <c r="L262" t="str">
        <f t="shared" si="23"/>
        <v>Home Owner</v>
      </c>
      <c r="M262">
        <v>0</v>
      </c>
      <c r="N262" t="s">
        <v>18</v>
      </c>
      <c r="O262" t="s">
        <v>19</v>
      </c>
      <c r="P262">
        <v>43</v>
      </c>
      <c r="Q262" t="str">
        <f t="shared" si="24"/>
        <v>35 to 44 yrs</v>
      </c>
      <c r="R262" t="s">
        <v>20</v>
      </c>
    </row>
    <row r="263" spans="1:18">
      <c r="A263">
        <v>26219</v>
      </c>
      <c r="B263" t="s">
        <v>13</v>
      </c>
      <c r="C263" t="str">
        <f t="shared" si="20"/>
        <v>Married</v>
      </c>
      <c r="D263" t="s">
        <v>14</v>
      </c>
      <c r="E263" t="str">
        <f t="shared" si="21"/>
        <v>Female</v>
      </c>
      <c r="F263" s="3">
        <v>40000</v>
      </c>
      <c r="G263" s="3" t="str">
        <f t="shared" si="22"/>
        <v>Lower Class</v>
      </c>
      <c r="H263">
        <v>1</v>
      </c>
      <c r="I263" t="s">
        <v>15</v>
      </c>
      <c r="J263" t="s">
        <v>16</v>
      </c>
      <c r="K263" t="s">
        <v>17</v>
      </c>
      <c r="L263" t="str">
        <f t="shared" si="23"/>
        <v>Home Owner</v>
      </c>
      <c r="M263">
        <v>1</v>
      </c>
      <c r="N263" t="s">
        <v>29</v>
      </c>
      <c r="O263" t="s">
        <v>19</v>
      </c>
      <c r="P263">
        <v>33</v>
      </c>
      <c r="Q263" t="str">
        <f t="shared" si="24"/>
        <v>25 to 34 yrs</v>
      </c>
      <c r="R263" t="s">
        <v>17</v>
      </c>
    </row>
    <row r="264" spans="1:18">
      <c r="A264">
        <v>28468</v>
      </c>
      <c r="B264" t="s">
        <v>13</v>
      </c>
      <c r="C264" t="str">
        <f t="shared" si="20"/>
        <v>Married</v>
      </c>
      <c r="D264" t="s">
        <v>14</v>
      </c>
      <c r="E264" t="str">
        <f t="shared" si="21"/>
        <v>Female</v>
      </c>
      <c r="F264" s="3">
        <v>10000</v>
      </c>
      <c r="G264" s="3" t="str">
        <f t="shared" si="22"/>
        <v>Lower Class</v>
      </c>
      <c r="H264">
        <v>2</v>
      </c>
      <c r="I264" t="s">
        <v>21</v>
      </c>
      <c r="J264" t="s">
        <v>28</v>
      </c>
      <c r="K264" t="s">
        <v>17</v>
      </c>
      <c r="L264" t="str">
        <f t="shared" si="23"/>
        <v>Home Owner</v>
      </c>
      <c r="M264">
        <v>0</v>
      </c>
      <c r="N264" t="s">
        <v>29</v>
      </c>
      <c r="O264" t="s">
        <v>19</v>
      </c>
      <c r="P264">
        <v>51</v>
      </c>
      <c r="Q264" t="str">
        <f t="shared" si="24"/>
        <v>45 to 54 yrs</v>
      </c>
      <c r="R264" t="s">
        <v>20</v>
      </c>
    </row>
    <row r="265" spans="1:18">
      <c r="A265">
        <v>23419</v>
      </c>
      <c r="B265" t="s">
        <v>25</v>
      </c>
      <c r="C265" t="str">
        <f t="shared" si="20"/>
        <v>Single</v>
      </c>
      <c r="D265" t="s">
        <v>14</v>
      </c>
      <c r="E265" t="str">
        <f t="shared" si="21"/>
        <v>Female</v>
      </c>
      <c r="F265" s="3">
        <v>70000</v>
      </c>
      <c r="G265" s="3" t="str">
        <f t="shared" si="22"/>
        <v>Middle Class</v>
      </c>
      <c r="H265">
        <v>5</v>
      </c>
      <c r="I265" t="s">
        <v>15</v>
      </c>
      <c r="J265" t="s">
        <v>23</v>
      </c>
      <c r="K265" t="s">
        <v>17</v>
      </c>
      <c r="L265" t="str">
        <f t="shared" si="23"/>
        <v>Home Owner</v>
      </c>
      <c r="M265">
        <v>3</v>
      </c>
      <c r="N265" t="s">
        <v>33</v>
      </c>
      <c r="O265" t="s">
        <v>27</v>
      </c>
      <c r="P265">
        <v>39</v>
      </c>
      <c r="Q265" t="str">
        <f t="shared" si="24"/>
        <v>35 to 44 yrs</v>
      </c>
      <c r="R265" t="s">
        <v>20</v>
      </c>
    </row>
    <row r="266" spans="1:18">
      <c r="A266">
        <v>17964</v>
      </c>
      <c r="B266" t="s">
        <v>13</v>
      </c>
      <c r="C266" t="str">
        <f t="shared" si="20"/>
        <v>Married</v>
      </c>
      <c r="D266" t="s">
        <v>13</v>
      </c>
      <c r="E266" t="str">
        <f t="shared" si="21"/>
        <v>Male</v>
      </c>
      <c r="F266" s="3">
        <v>40000</v>
      </c>
      <c r="G266" s="3" t="str">
        <f t="shared" si="22"/>
        <v>Lower Class</v>
      </c>
      <c r="H266">
        <v>0</v>
      </c>
      <c r="I266" t="s">
        <v>34</v>
      </c>
      <c r="J266" t="s">
        <v>22</v>
      </c>
      <c r="K266" t="s">
        <v>17</v>
      </c>
      <c r="L266" t="str">
        <f t="shared" si="23"/>
        <v>Home Owner</v>
      </c>
      <c r="M266">
        <v>0</v>
      </c>
      <c r="N266" t="s">
        <v>18</v>
      </c>
      <c r="O266" t="s">
        <v>19</v>
      </c>
      <c r="P266">
        <v>37</v>
      </c>
      <c r="Q266" t="str">
        <f t="shared" si="24"/>
        <v>35 to 44 yrs</v>
      </c>
      <c r="R266" t="s">
        <v>17</v>
      </c>
    </row>
    <row r="267" spans="1:18">
      <c r="A267">
        <v>20919</v>
      </c>
      <c r="B267" t="s">
        <v>25</v>
      </c>
      <c r="C267" t="str">
        <f t="shared" si="20"/>
        <v>Single</v>
      </c>
      <c r="D267" t="s">
        <v>14</v>
      </c>
      <c r="E267" t="str">
        <f t="shared" si="21"/>
        <v>Female</v>
      </c>
      <c r="F267" s="3">
        <v>30000</v>
      </c>
      <c r="G267" s="3" t="str">
        <f t="shared" si="22"/>
        <v>Lower Class</v>
      </c>
      <c r="H267">
        <v>2</v>
      </c>
      <c r="I267" t="s">
        <v>21</v>
      </c>
      <c r="J267" t="s">
        <v>22</v>
      </c>
      <c r="K267" t="s">
        <v>17</v>
      </c>
      <c r="L267" t="str">
        <f t="shared" si="23"/>
        <v>Home Owner</v>
      </c>
      <c r="M267">
        <v>2</v>
      </c>
      <c r="N267" t="s">
        <v>18</v>
      </c>
      <c r="O267" t="s">
        <v>19</v>
      </c>
      <c r="P267">
        <v>42</v>
      </c>
      <c r="Q267" t="str">
        <f t="shared" si="24"/>
        <v>35 to 44 yrs</v>
      </c>
      <c r="R267" t="s">
        <v>20</v>
      </c>
    </row>
    <row r="268" spans="1:18">
      <c r="A268">
        <v>20927</v>
      </c>
      <c r="B268" t="s">
        <v>25</v>
      </c>
      <c r="C268" t="str">
        <f t="shared" si="20"/>
        <v>Single</v>
      </c>
      <c r="D268" t="s">
        <v>14</v>
      </c>
      <c r="E268" t="str">
        <f t="shared" si="21"/>
        <v>Female</v>
      </c>
      <c r="F268" s="3">
        <v>20000</v>
      </c>
      <c r="G268" s="3" t="str">
        <f t="shared" si="22"/>
        <v>Lower Class</v>
      </c>
      <c r="H268">
        <v>5</v>
      </c>
      <c r="I268" t="s">
        <v>30</v>
      </c>
      <c r="J268" t="s">
        <v>28</v>
      </c>
      <c r="K268" t="s">
        <v>17</v>
      </c>
      <c r="L268" t="str">
        <f t="shared" si="23"/>
        <v>Home Owner</v>
      </c>
      <c r="M268">
        <v>2</v>
      </c>
      <c r="N268" t="s">
        <v>18</v>
      </c>
      <c r="O268" t="s">
        <v>19</v>
      </c>
      <c r="P268">
        <v>27</v>
      </c>
      <c r="Q268" t="str">
        <f t="shared" si="24"/>
        <v>25 to 34 yrs</v>
      </c>
      <c r="R268" t="s">
        <v>20</v>
      </c>
    </row>
    <row r="269" spans="1:18">
      <c r="A269">
        <v>13133</v>
      </c>
      <c r="B269" t="s">
        <v>25</v>
      </c>
      <c r="C269" t="str">
        <f t="shared" si="20"/>
        <v>Single</v>
      </c>
      <c r="D269" t="s">
        <v>13</v>
      </c>
      <c r="E269" t="str">
        <f t="shared" si="21"/>
        <v>Male</v>
      </c>
      <c r="F269" s="3">
        <v>100000</v>
      </c>
      <c r="G269" s="3" t="str">
        <f t="shared" si="22"/>
        <v>Middle Class</v>
      </c>
      <c r="H269">
        <v>5</v>
      </c>
      <c r="I269" t="s">
        <v>15</v>
      </c>
      <c r="J269" t="s">
        <v>23</v>
      </c>
      <c r="K269" t="s">
        <v>17</v>
      </c>
      <c r="L269" t="str">
        <f t="shared" si="23"/>
        <v>Home Owner</v>
      </c>
      <c r="M269">
        <v>1</v>
      </c>
      <c r="N269" t="s">
        <v>26</v>
      </c>
      <c r="O269" t="s">
        <v>27</v>
      </c>
      <c r="P269">
        <v>47</v>
      </c>
      <c r="Q269" t="str">
        <f t="shared" si="24"/>
        <v>45 to 54 yrs</v>
      </c>
      <c r="R269" t="s">
        <v>17</v>
      </c>
    </row>
    <row r="270" spans="1:18">
      <c r="A270">
        <v>19626</v>
      </c>
      <c r="B270" t="s">
        <v>13</v>
      </c>
      <c r="C270" t="str">
        <f t="shared" si="20"/>
        <v>Married</v>
      </c>
      <c r="D270" t="s">
        <v>13</v>
      </c>
      <c r="E270" t="str">
        <f t="shared" si="21"/>
        <v>Male</v>
      </c>
      <c r="F270" s="3">
        <v>70000</v>
      </c>
      <c r="G270" s="3" t="str">
        <f t="shared" si="22"/>
        <v>Middle Class</v>
      </c>
      <c r="H270">
        <v>5</v>
      </c>
      <c r="I270" t="s">
        <v>21</v>
      </c>
      <c r="J270" t="s">
        <v>16</v>
      </c>
      <c r="K270" t="s">
        <v>17</v>
      </c>
      <c r="L270" t="str">
        <f t="shared" si="23"/>
        <v>Home Owner</v>
      </c>
      <c r="M270">
        <v>3</v>
      </c>
      <c r="N270" t="s">
        <v>26</v>
      </c>
      <c r="O270" t="s">
        <v>27</v>
      </c>
      <c r="P270">
        <v>45</v>
      </c>
      <c r="Q270" t="str">
        <f t="shared" si="24"/>
        <v>45 to 54 yrs</v>
      </c>
      <c r="R270" t="s">
        <v>20</v>
      </c>
    </row>
    <row r="271" spans="1:18">
      <c r="A271">
        <v>21039</v>
      </c>
      <c r="B271" t="s">
        <v>25</v>
      </c>
      <c r="C271" t="str">
        <f t="shared" si="20"/>
        <v>Single</v>
      </c>
      <c r="D271" t="s">
        <v>14</v>
      </c>
      <c r="E271" t="str">
        <f t="shared" si="21"/>
        <v>Female</v>
      </c>
      <c r="F271" s="3">
        <v>50000</v>
      </c>
      <c r="G271" s="3" t="str">
        <f t="shared" si="22"/>
        <v>Lower Class</v>
      </c>
      <c r="H271">
        <v>0</v>
      </c>
      <c r="I271" t="s">
        <v>34</v>
      </c>
      <c r="J271" t="s">
        <v>16</v>
      </c>
      <c r="K271" t="s">
        <v>20</v>
      </c>
      <c r="L271" t="str">
        <f t="shared" si="23"/>
        <v>Tenant</v>
      </c>
      <c r="M271">
        <v>0</v>
      </c>
      <c r="N271" t="s">
        <v>18</v>
      </c>
      <c r="O271" t="s">
        <v>19</v>
      </c>
      <c r="P271">
        <v>37</v>
      </c>
      <c r="Q271" t="str">
        <f t="shared" si="24"/>
        <v>35 to 44 yrs</v>
      </c>
      <c r="R271" t="s">
        <v>17</v>
      </c>
    </row>
    <row r="272" spans="1:18">
      <c r="A272">
        <v>12231</v>
      </c>
      <c r="B272" t="s">
        <v>25</v>
      </c>
      <c r="C272" t="str">
        <f t="shared" si="20"/>
        <v>Single</v>
      </c>
      <c r="D272" t="s">
        <v>14</v>
      </c>
      <c r="E272" t="str">
        <f t="shared" si="21"/>
        <v>Female</v>
      </c>
      <c r="F272" s="3">
        <v>10000</v>
      </c>
      <c r="G272" s="3" t="str">
        <f t="shared" si="22"/>
        <v>Lower Class</v>
      </c>
      <c r="H272">
        <v>2</v>
      </c>
      <c r="I272" t="s">
        <v>21</v>
      </c>
      <c r="J272" t="s">
        <v>28</v>
      </c>
      <c r="K272" t="s">
        <v>17</v>
      </c>
      <c r="L272" t="str">
        <f t="shared" si="23"/>
        <v>Home Owner</v>
      </c>
      <c r="M272">
        <v>0</v>
      </c>
      <c r="N272" t="s">
        <v>18</v>
      </c>
      <c r="O272" t="s">
        <v>19</v>
      </c>
      <c r="P272">
        <v>51</v>
      </c>
      <c r="Q272" t="str">
        <f t="shared" si="24"/>
        <v>45 to 54 yrs</v>
      </c>
      <c r="R272" t="s">
        <v>17</v>
      </c>
    </row>
    <row r="273" spans="1:18">
      <c r="A273">
        <v>25665</v>
      </c>
      <c r="B273" t="s">
        <v>25</v>
      </c>
      <c r="C273" t="str">
        <f t="shared" si="20"/>
        <v>Single</v>
      </c>
      <c r="D273" t="s">
        <v>14</v>
      </c>
      <c r="E273" t="str">
        <f t="shared" si="21"/>
        <v>Female</v>
      </c>
      <c r="F273" s="3">
        <v>20000</v>
      </c>
      <c r="G273" s="3" t="str">
        <f t="shared" si="22"/>
        <v>Lower Class</v>
      </c>
      <c r="H273">
        <v>0</v>
      </c>
      <c r="I273" t="s">
        <v>30</v>
      </c>
      <c r="J273" t="s">
        <v>28</v>
      </c>
      <c r="K273" t="s">
        <v>20</v>
      </c>
      <c r="L273" t="str">
        <f t="shared" si="23"/>
        <v>Tenant</v>
      </c>
      <c r="M273">
        <v>1</v>
      </c>
      <c r="N273" t="s">
        <v>29</v>
      </c>
      <c r="O273" t="s">
        <v>19</v>
      </c>
      <c r="P273">
        <v>28</v>
      </c>
      <c r="Q273" t="str">
        <f t="shared" si="24"/>
        <v>25 to 34 yrs</v>
      </c>
      <c r="R273" t="s">
        <v>20</v>
      </c>
    </row>
    <row r="274" spans="1:18">
      <c r="A274">
        <v>24061</v>
      </c>
      <c r="B274" t="s">
        <v>13</v>
      </c>
      <c r="C274" t="str">
        <f t="shared" si="20"/>
        <v>Married</v>
      </c>
      <c r="D274" t="s">
        <v>13</v>
      </c>
      <c r="E274" t="str">
        <f t="shared" si="21"/>
        <v>Male</v>
      </c>
      <c r="F274" s="3">
        <v>10000</v>
      </c>
      <c r="G274" s="3" t="str">
        <f t="shared" si="22"/>
        <v>Lower Class</v>
      </c>
      <c r="H274">
        <v>4</v>
      </c>
      <c r="I274" t="s">
        <v>32</v>
      </c>
      <c r="J274" t="s">
        <v>28</v>
      </c>
      <c r="K274" t="s">
        <v>17</v>
      </c>
      <c r="L274" t="str">
        <f t="shared" si="23"/>
        <v>Home Owner</v>
      </c>
      <c r="M274">
        <v>1</v>
      </c>
      <c r="N274" t="s">
        <v>18</v>
      </c>
      <c r="O274" t="s">
        <v>19</v>
      </c>
      <c r="P274">
        <v>40</v>
      </c>
      <c r="Q274" t="str">
        <f t="shared" si="24"/>
        <v>35 to 44 yrs</v>
      </c>
      <c r="R274" t="s">
        <v>17</v>
      </c>
    </row>
    <row r="275" spans="1:18">
      <c r="A275">
        <v>26879</v>
      </c>
      <c r="B275" t="s">
        <v>25</v>
      </c>
      <c r="C275" t="str">
        <f t="shared" si="20"/>
        <v>Single</v>
      </c>
      <c r="D275" t="s">
        <v>14</v>
      </c>
      <c r="E275" t="str">
        <f t="shared" si="21"/>
        <v>Female</v>
      </c>
      <c r="F275" s="3">
        <v>20000</v>
      </c>
      <c r="G275" s="3" t="str">
        <f t="shared" si="22"/>
        <v>Lower Class</v>
      </c>
      <c r="H275">
        <v>0</v>
      </c>
      <c r="I275" t="s">
        <v>30</v>
      </c>
      <c r="J275" t="s">
        <v>28</v>
      </c>
      <c r="K275" t="s">
        <v>20</v>
      </c>
      <c r="L275" t="str">
        <f t="shared" si="23"/>
        <v>Tenant</v>
      </c>
      <c r="M275">
        <v>1</v>
      </c>
      <c r="N275" t="s">
        <v>24</v>
      </c>
      <c r="O275" t="s">
        <v>19</v>
      </c>
      <c r="P275">
        <v>30</v>
      </c>
      <c r="Q275" t="str">
        <f t="shared" si="24"/>
        <v>25 to 34 yrs</v>
      </c>
      <c r="R275" t="s">
        <v>20</v>
      </c>
    </row>
    <row r="276" spans="1:18">
      <c r="A276">
        <v>12284</v>
      </c>
      <c r="B276" t="s">
        <v>13</v>
      </c>
      <c r="C276" t="str">
        <f t="shared" si="20"/>
        <v>Married</v>
      </c>
      <c r="D276" t="s">
        <v>14</v>
      </c>
      <c r="E276" t="str">
        <f t="shared" si="21"/>
        <v>Female</v>
      </c>
      <c r="F276" s="3">
        <v>30000</v>
      </c>
      <c r="G276" s="3" t="str">
        <f t="shared" si="22"/>
        <v>Lower Class</v>
      </c>
      <c r="H276">
        <v>0</v>
      </c>
      <c r="I276" t="s">
        <v>15</v>
      </c>
      <c r="J276" t="s">
        <v>22</v>
      </c>
      <c r="K276" t="s">
        <v>20</v>
      </c>
      <c r="L276" t="str">
        <f t="shared" si="23"/>
        <v>Tenant</v>
      </c>
      <c r="M276">
        <v>0</v>
      </c>
      <c r="N276" t="s">
        <v>18</v>
      </c>
      <c r="O276" t="s">
        <v>19</v>
      </c>
      <c r="P276">
        <v>36</v>
      </c>
      <c r="Q276" t="str">
        <f t="shared" si="24"/>
        <v>35 to 44 yrs</v>
      </c>
      <c r="R276" t="s">
        <v>17</v>
      </c>
    </row>
    <row r="277" spans="1:18">
      <c r="A277">
        <v>26654</v>
      </c>
      <c r="B277" t="s">
        <v>13</v>
      </c>
      <c r="C277" t="str">
        <f t="shared" si="20"/>
        <v>Married</v>
      </c>
      <c r="D277" t="s">
        <v>14</v>
      </c>
      <c r="E277" t="str">
        <f t="shared" si="21"/>
        <v>Female</v>
      </c>
      <c r="F277" s="3">
        <v>90000</v>
      </c>
      <c r="G277" s="3" t="str">
        <f t="shared" si="22"/>
        <v>Middle Class</v>
      </c>
      <c r="H277">
        <v>1</v>
      </c>
      <c r="I277" t="s">
        <v>34</v>
      </c>
      <c r="J277" t="s">
        <v>31</v>
      </c>
      <c r="K277" t="s">
        <v>17</v>
      </c>
      <c r="L277" t="str">
        <f t="shared" si="23"/>
        <v>Home Owner</v>
      </c>
      <c r="M277">
        <v>0</v>
      </c>
      <c r="N277" t="s">
        <v>18</v>
      </c>
      <c r="O277" t="s">
        <v>27</v>
      </c>
      <c r="P277">
        <v>37</v>
      </c>
      <c r="Q277" t="str">
        <f t="shared" si="24"/>
        <v>35 to 44 yrs</v>
      </c>
      <c r="R277" t="s">
        <v>17</v>
      </c>
    </row>
    <row r="278" spans="1:18">
      <c r="A278">
        <v>14545</v>
      </c>
      <c r="B278" t="s">
        <v>13</v>
      </c>
      <c r="C278" t="str">
        <f t="shared" si="20"/>
        <v>Married</v>
      </c>
      <c r="D278" t="s">
        <v>14</v>
      </c>
      <c r="E278" t="str">
        <f t="shared" si="21"/>
        <v>Female</v>
      </c>
      <c r="F278" s="3">
        <v>10000</v>
      </c>
      <c r="G278" s="3" t="str">
        <f t="shared" si="22"/>
        <v>Lower Class</v>
      </c>
      <c r="H278">
        <v>2</v>
      </c>
      <c r="I278" t="s">
        <v>21</v>
      </c>
      <c r="J278" t="s">
        <v>28</v>
      </c>
      <c r="K278" t="s">
        <v>17</v>
      </c>
      <c r="L278" t="str">
        <f t="shared" si="23"/>
        <v>Home Owner</v>
      </c>
      <c r="M278">
        <v>0</v>
      </c>
      <c r="N278" t="s">
        <v>29</v>
      </c>
      <c r="O278" t="s">
        <v>19</v>
      </c>
      <c r="P278">
        <v>49</v>
      </c>
      <c r="Q278" t="str">
        <f t="shared" si="24"/>
        <v>45 to 54 yrs</v>
      </c>
      <c r="R278" t="s">
        <v>20</v>
      </c>
    </row>
    <row r="279" spans="1:18">
      <c r="A279">
        <v>24201</v>
      </c>
      <c r="B279" t="s">
        <v>13</v>
      </c>
      <c r="C279" t="str">
        <f t="shared" si="20"/>
        <v>Married</v>
      </c>
      <c r="D279" t="s">
        <v>14</v>
      </c>
      <c r="E279" t="str">
        <f t="shared" si="21"/>
        <v>Female</v>
      </c>
      <c r="F279" s="3">
        <v>10000</v>
      </c>
      <c r="G279" s="3" t="str">
        <f t="shared" si="22"/>
        <v>Lower Class</v>
      </c>
      <c r="H279">
        <v>2</v>
      </c>
      <c r="I279" t="s">
        <v>30</v>
      </c>
      <c r="J279" t="s">
        <v>28</v>
      </c>
      <c r="K279" t="s">
        <v>17</v>
      </c>
      <c r="L279" t="str">
        <f t="shared" si="23"/>
        <v>Home Owner</v>
      </c>
      <c r="M279">
        <v>0</v>
      </c>
      <c r="N279" t="s">
        <v>18</v>
      </c>
      <c r="O279" t="s">
        <v>19</v>
      </c>
      <c r="P279">
        <v>37</v>
      </c>
      <c r="Q279" t="str">
        <f t="shared" si="24"/>
        <v>35 to 44 yrs</v>
      </c>
      <c r="R279" t="s">
        <v>17</v>
      </c>
    </row>
    <row r="280" spans="1:18">
      <c r="A280">
        <v>20625</v>
      </c>
      <c r="B280" t="s">
        <v>13</v>
      </c>
      <c r="C280" t="str">
        <f t="shared" si="20"/>
        <v>Married</v>
      </c>
      <c r="D280" t="s">
        <v>13</v>
      </c>
      <c r="E280" t="str">
        <f t="shared" si="21"/>
        <v>Male</v>
      </c>
      <c r="F280" s="3">
        <v>100000</v>
      </c>
      <c r="G280" s="3" t="str">
        <f t="shared" si="22"/>
        <v>Middle Class</v>
      </c>
      <c r="H280">
        <v>0</v>
      </c>
      <c r="I280" t="s">
        <v>30</v>
      </c>
      <c r="J280" t="s">
        <v>31</v>
      </c>
      <c r="K280" t="s">
        <v>17</v>
      </c>
      <c r="L280" t="str">
        <f t="shared" si="23"/>
        <v>Home Owner</v>
      </c>
      <c r="M280">
        <v>3</v>
      </c>
      <c r="N280" t="s">
        <v>33</v>
      </c>
      <c r="O280" t="s">
        <v>27</v>
      </c>
      <c r="P280">
        <v>35</v>
      </c>
      <c r="Q280" t="str">
        <f t="shared" si="24"/>
        <v>35 to 44 yrs</v>
      </c>
      <c r="R280" t="s">
        <v>17</v>
      </c>
    </row>
    <row r="281" spans="1:18">
      <c r="A281">
        <v>16390</v>
      </c>
      <c r="B281" t="s">
        <v>25</v>
      </c>
      <c r="C281" t="str">
        <f t="shared" si="20"/>
        <v>Single</v>
      </c>
      <c r="D281" t="s">
        <v>13</v>
      </c>
      <c r="E281" t="str">
        <f t="shared" si="21"/>
        <v>Male</v>
      </c>
      <c r="F281" s="3">
        <v>30000</v>
      </c>
      <c r="G281" s="3" t="str">
        <f t="shared" si="22"/>
        <v>Lower Class</v>
      </c>
      <c r="H281">
        <v>1</v>
      </c>
      <c r="I281" t="s">
        <v>15</v>
      </c>
      <c r="J281" t="s">
        <v>22</v>
      </c>
      <c r="K281" t="s">
        <v>20</v>
      </c>
      <c r="L281" t="str">
        <f t="shared" si="23"/>
        <v>Tenant</v>
      </c>
      <c r="M281">
        <v>0</v>
      </c>
      <c r="N281" t="s">
        <v>18</v>
      </c>
      <c r="O281" t="s">
        <v>19</v>
      </c>
      <c r="P281">
        <v>38</v>
      </c>
      <c r="Q281" t="str">
        <f t="shared" si="24"/>
        <v>35 to 44 yrs</v>
      </c>
      <c r="R281" t="s">
        <v>17</v>
      </c>
    </row>
    <row r="282" spans="1:18">
      <c r="A282">
        <v>14804</v>
      </c>
      <c r="B282" t="s">
        <v>25</v>
      </c>
      <c r="C282" t="str">
        <f t="shared" si="20"/>
        <v>Single</v>
      </c>
      <c r="D282" t="s">
        <v>14</v>
      </c>
      <c r="E282" t="str">
        <f t="shared" si="21"/>
        <v>Female</v>
      </c>
      <c r="F282" s="3">
        <v>10000</v>
      </c>
      <c r="G282" s="3" t="str">
        <f t="shared" si="22"/>
        <v>Lower Class</v>
      </c>
      <c r="H282">
        <v>3</v>
      </c>
      <c r="I282" t="s">
        <v>32</v>
      </c>
      <c r="J282" t="s">
        <v>28</v>
      </c>
      <c r="K282" t="s">
        <v>17</v>
      </c>
      <c r="L282" t="str">
        <f t="shared" si="23"/>
        <v>Home Owner</v>
      </c>
      <c r="M282">
        <v>2</v>
      </c>
      <c r="N282" t="s">
        <v>18</v>
      </c>
      <c r="O282" t="s">
        <v>19</v>
      </c>
      <c r="P282">
        <v>43</v>
      </c>
      <c r="Q282" t="str">
        <f t="shared" si="24"/>
        <v>35 to 44 yrs</v>
      </c>
      <c r="R282" t="s">
        <v>20</v>
      </c>
    </row>
    <row r="283" spans="1:18">
      <c r="A283">
        <v>12629</v>
      </c>
      <c r="B283" t="s">
        <v>25</v>
      </c>
      <c r="C283" t="str">
        <f t="shared" si="20"/>
        <v>Single</v>
      </c>
      <c r="D283" t="s">
        <v>13</v>
      </c>
      <c r="E283" t="str">
        <f t="shared" si="21"/>
        <v>Male</v>
      </c>
      <c r="F283" s="3">
        <v>20000</v>
      </c>
      <c r="G283" s="3" t="str">
        <f t="shared" si="22"/>
        <v>Lower Class</v>
      </c>
      <c r="H283">
        <v>1</v>
      </c>
      <c r="I283" t="s">
        <v>21</v>
      </c>
      <c r="J283" t="s">
        <v>28</v>
      </c>
      <c r="K283" t="s">
        <v>20</v>
      </c>
      <c r="L283" t="str">
        <f t="shared" si="23"/>
        <v>Tenant</v>
      </c>
      <c r="M283">
        <v>0</v>
      </c>
      <c r="N283" t="s">
        <v>18</v>
      </c>
      <c r="O283" t="s">
        <v>19</v>
      </c>
      <c r="P283">
        <v>37</v>
      </c>
      <c r="Q283" t="str">
        <f t="shared" si="24"/>
        <v>35 to 44 yrs</v>
      </c>
      <c r="R283" t="s">
        <v>20</v>
      </c>
    </row>
    <row r="284" spans="1:18">
      <c r="A284">
        <v>14696</v>
      </c>
      <c r="B284" t="s">
        <v>25</v>
      </c>
      <c r="C284" t="str">
        <f t="shared" si="20"/>
        <v>Single</v>
      </c>
      <c r="D284" t="s">
        <v>13</v>
      </c>
      <c r="E284" t="str">
        <f t="shared" si="21"/>
        <v>Male</v>
      </c>
      <c r="F284" s="3">
        <v>10000</v>
      </c>
      <c r="G284" s="3" t="str">
        <f t="shared" si="22"/>
        <v>Lower Class</v>
      </c>
      <c r="H284">
        <v>0</v>
      </c>
      <c r="I284" t="s">
        <v>32</v>
      </c>
      <c r="J284" t="s">
        <v>28</v>
      </c>
      <c r="K284" t="s">
        <v>20</v>
      </c>
      <c r="L284" t="str">
        <f t="shared" si="23"/>
        <v>Tenant</v>
      </c>
      <c r="M284">
        <v>2</v>
      </c>
      <c r="N284" t="s">
        <v>18</v>
      </c>
      <c r="O284" t="s">
        <v>19</v>
      </c>
      <c r="P284">
        <v>34</v>
      </c>
      <c r="Q284" t="str">
        <f t="shared" si="24"/>
        <v>25 to 34 yrs</v>
      </c>
      <c r="R284" t="s">
        <v>20</v>
      </c>
    </row>
    <row r="285" spans="1:18">
      <c r="A285">
        <v>22005</v>
      </c>
      <c r="B285" t="s">
        <v>13</v>
      </c>
      <c r="C285" t="str">
        <f t="shared" si="20"/>
        <v>Married</v>
      </c>
      <c r="D285" t="s">
        <v>14</v>
      </c>
      <c r="E285" t="str">
        <f t="shared" si="21"/>
        <v>Female</v>
      </c>
      <c r="F285" s="3">
        <v>70000</v>
      </c>
      <c r="G285" s="3" t="str">
        <f t="shared" si="22"/>
        <v>Middle Class</v>
      </c>
      <c r="H285">
        <v>5</v>
      </c>
      <c r="I285" t="s">
        <v>21</v>
      </c>
      <c r="J285" t="s">
        <v>16</v>
      </c>
      <c r="K285" t="s">
        <v>20</v>
      </c>
      <c r="L285" t="str">
        <f t="shared" si="23"/>
        <v>Tenant</v>
      </c>
      <c r="M285">
        <v>3</v>
      </c>
      <c r="N285" t="s">
        <v>26</v>
      </c>
      <c r="O285" t="s">
        <v>27</v>
      </c>
      <c r="P285">
        <v>46</v>
      </c>
      <c r="Q285" t="str">
        <f t="shared" si="24"/>
        <v>45 to 54 yrs</v>
      </c>
      <c r="R285" t="s">
        <v>20</v>
      </c>
    </row>
    <row r="286" spans="1:18">
      <c r="A286">
        <v>14544</v>
      </c>
      <c r="B286" t="s">
        <v>25</v>
      </c>
      <c r="C286" t="str">
        <f t="shared" si="20"/>
        <v>Single</v>
      </c>
      <c r="D286" t="s">
        <v>13</v>
      </c>
      <c r="E286" t="str">
        <f t="shared" si="21"/>
        <v>Male</v>
      </c>
      <c r="F286" s="3">
        <v>10000</v>
      </c>
      <c r="G286" s="3" t="str">
        <f t="shared" si="22"/>
        <v>Lower Class</v>
      </c>
      <c r="H286">
        <v>1</v>
      </c>
      <c r="I286" t="s">
        <v>21</v>
      </c>
      <c r="J286" t="s">
        <v>28</v>
      </c>
      <c r="K286" t="s">
        <v>17</v>
      </c>
      <c r="L286" t="str">
        <f t="shared" si="23"/>
        <v>Home Owner</v>
      </c>
      <c r="M286">
        <v>0</v>
      </c>
      <c r="N286" t="s">
        <v>18</v>
      </c>
      <c r="O286" t="s">
        <v>19</v>
      </c>
      <c r="P286">
        <v>49</v>
      </c>
      <c r="Q286" t="str">
        <f t="shared" si="24"/>
        <v>45 to 54 yrs</v>
      </c>
      <c r="R286" t="s">
        <v>20</v>
      </c>
    </row>
    <row r="287" spans="1:18">
      <c r="A287">
        <v>14312</v>
      </c>
      <c r="B287" t="s">
        <v>13</v>
      </c>
      <c r="C287" t="str">
        <f t="shared" si="20"/>
        <v>Married</v>
      </c>
      <c r="D287" t="s">
        <v>14</v>
      </c>
      <c r="E287" t="str">
        <f t="shared" si="21"/>
        <v>Female</v>
      </c>
      <c r="F287" s="3">
        <v>60000</v>
      </c>
      <c r="G287" s="3" t="str">
        <f t="shared" si="22"/>
        <v>Middle Class</v>
      </c>
      <c r="H287">
        <v>1</v>
      </c>
      <c r="I287" t="s">
        <v>21</v>
      </c>
      <c r="J287" t="s">
        <v>16</v>
      </c>
      <c r="K287" t="s">
        <v>17</v>
      </c>
      <c r="L287" t="str">
        <f t="shared" si="23"/>
        <v>Home Owner</v>
      </c>
      <c r="M287">
        <v>1</v>
      </c>
      <c r="N287" t="s">
        <v>26</v>
      </c>
      <c r="O287" t="s">
        <v>27</v>
      </c>
      <c r="P287">
        <v>45</v>
      </c>
      <c r="Q287" t="str">
        <f t="shared" si="24"/>
        <v>45 to 54 yrs</v>
      </c>
      <c r="R287" t="s">
        <v>20</v>
      </c>
    </row>
    <row r="288" spans="1:18">
      <c r="A288">
        <v>29120</v>
      </c>
      <c r="B288" t="s">
        <v>25</v>
      </c>
      <c r="C288" t="str">
        <f t="shared" si="20"/>
        <v>Single</v>
      </c>
      <c r="D288" t="s">
        <v>14</v>
      </c>
      <c r="E288" t="str">
        <f t="shared" si="21"/>
        <v>Female</v>
      </c>
      <c r="F288" s="3">
        <v>100000</v>
      </c>
      <c r="G288" s="3" t="str">
        <f t="shared" si="22"/>
        <v>Middle Class</v>
      </c>
      <c r="H288">
        <v>1</v>
      </c>
      <c r="I288" t="s">
        <v>15</v>
      </c>
      <c r="J288" t="s">
        <v>31</v>
      </c>
      <c r="K288" t="s">
        <v>17</v>
      </c>
      <c r="L288" t="str">
        <f t="shared" si="23"/>
        <v>Home Owner</v>
      </c>
      <c r="M288">
        <v>4</v>
      </c>
      <c r="N288" t="s">
        <v>24</v>
      </c>
      <c r="O288" t="s">
        <v>27</v>
      </c>
      <c r="P288">
        <v>48</v>
      </c>
      <c r="Q288" t="str">
        <f t="shared" si="24"/>
        <v>45 to 54 yrs</v>
      </c>
      <c r="R288" t="s">
        <v>20</v>
      </c>
    </row>
    <row r="289" spans="1:18">
      <c r="A289">
        <v>24187</v>
      </c>
      <c r="B289" t="s">
        <v>25</v>
      </c>
      <c r="C289" t="str">
        <f t="shared" si="20"/>
        <v>Single</v>
      </c>
      <c r="D289" t="s">
        <v>14</v>
      </c>
      <c r="E289" t="str">
        <f t="shared" si="21"/>
        <v>Female</v>
      </c>
      <c r="F289" s="3">
        <v>30000</v>
      </c>
      <c r="G289" s="3" t="str">
        <f t="shared" si="22"/>
        <v>Lower Class</v>
      </c>
      <c r="H289">
        <v>3</v>
      </c>
      <c r="I289" t="s">
        <v>34</v>
      </c>
      <c r="J289" t="s">
        <v>22</v>
      </c>
      <c r="K289" t="s">
        <v>20</v>
      </c>
      <c r="L289" t="str">
        <f t="shared" si="23"/>
        <v>Tenant</v>
      </c>
      <c r="M289">
        <v>0</v>
      </c>
      <c r="N289" t="s">
        <v>18</v>
      </c>
      <c r="O289" t="s">
        <v>19</v>
      </c>
      <c r="P289">
        <v>46</v>
      </c>
      <c r="Q289" t="str">
        <f t="shared" si="24"/>
        <v>45 to 54 yrs</v>
      </c>
      <c r="R289" t="s">
        <v>17</v>
      </c>
    </row>
    <row r="290" spans="1:18">
      <c r="A290">
        <v>15758</v>
      </c>
      <c r="B290" t="s">
        <v>13</v>
      </c>
      <c r="C290" t="str">
        <f t="shared" si="20"/>
        <v>Married</v>
      </c>
      <c r="D290" t="s">
        <v>13</v>
      </c>
      <c r="E290" t="str">
        <f t="shared" si="21"/>
        <v>Male</v>
      </c>
      <c r="F290" s="3">
        <v>130000</v>
      </c>
      <c r="G290" s="3" t="str">
        <f t="shared" si="22"/>
        <v>Upper Middle Class</v>
      </c>
      <c r="H290">
        <v>0</v>
      </c>
      <c r="I290" t="s">
        <v>34</v>
      </c>
      <c r="J290" t="s">
        <v>31</v>
      </c>
      <c r="K290" t="s">
        <v>17</v>
      </c>
      <c r="L290" t="str">
        <f t="shared" si="23"/>
        <v>Home Owner</v>
      </c>
      <c r="M290">
        <v>0</v>
      </c>
      <c r="N290" t="s">
        <v>26</v>
      </c>
      <c r="O290" t="s">
        <v>27</v>
      </c>
      <c r="P290">
        <v>48</v>
      </c>
      <c r="Q290" t="str">
        <f t="shared" si="24"/>
        <v>45 to 54 yrs</v>
      </c>
      <c r="R290" t="s">
        <v>20</v>
      </c>
    </row>
    <row r="291" spans="1:18">
      <c r="A291">
        <v>29094</v>
      </c>
      <c r="B291" t="s">
        <v>13</v>
      </c>
      <c r="C291" t="str">
        <f t="shared" si="20"/>
        <v>Married</v>
      </c>
      <c r="D291" t="s">
        <v>13</v>
      </c>
      <c r="E291" t="str">
        <f t="shared" si="21"/>
        <v>Male</v>
      </c>
      <c r="F291" s="3">
        <v>30000</v>
      </c>
      <c r="G291" s="3" t="str">
        <f t="shared" si="22"/>
        <v>Lower Class</v>
      </c>
      <c r="H291">
        <v>3</v>
      </c>
      <c r="I291" t="s">
        <v>30</v>
      </c>
      <c r="J291" t="s">
        <v>16</v>
      </c>
      <c r="K291" t="s">
        <v>17</v>
      </c>
      <c r="L291" t="str">
        <f t="shared" si="23"/>
        <v>Home Owner</v>
      </c>
      <c r="M291">
        <v>2</v>
      </c>
      <c r="N291" t="s">
        <v>26</v>
      </c>
      <c r="O291" t="s">
        <v>27</v>
      </c>
      <c r="P291">
        <v>54</v>
      </c>
      <c r="Q291" t="str">
        <f t="shared" si="24"/>
        <v>45 to 54 yrs</v>
      </c>
      <c r="R291" t="s">
        <v>17</v>
      </c>
    </row>
    <row r="292" spans="1:18">
      <c r="A292">
        <v>28319</v>
      </c>
      <c r="B292" t="s">
        <v>25</v>
      </c>
      <c r="C292" t="str">
        <f t="shared" si="20"/>
        <v>Single</v>
      </c>
      <c r="D292" t="s">
        <v>14</v>
      </c>
      <c r="E292" t="str">
        <f t="shared" si="21"/>
        <v>Female</v>
      </c>
      <c r="F292" s="3">
        <v>60000</v>
      </c>
      <c r="G292" s="3" t="str">
        <f t="shared" si="22"/>
        <v>Middle Class</v>
      </c>
      <c r="H292">
        <v>1</v>
      </c>
      <c r="I292" t="s">
        <v>21</v>
      </c>
      <c r="J292" t="s">
        <v>16</v>
      </c>
      <c r="K292" t="s">
        <v>20</v>
      </c>
      <c r="L292" t="str">
        <f t="shared" si="23"/>
        <v>Tenant</v>
      </c>
      <c r="M292">
        <v>1</v>
      </c>
      <c r="N292" t="s">
        <v>18</v>
      </c>
      <c r="O292" t="s">
        <v>27</v>
      </c>
      <c r="P292">
        <v>46</v>
      </c>
      <c r="Q292" t="str">
        <f t="shared" si="24"/>
        <v>45 to 54 yrs</v>
      </c>
      <c r="R292" t="s">
        <v>17</v>
      </c>
    </row>
    <row r="293" spans="1:18">
      <c r="A293">
        <v>16406</v>
      </c>
      <c r="B293" t="s">
        <v>13</v>
      </c>
      <c r="C293" t="str">
        <f t="shared" si="20"/>
        <v>Married</v>
      </c>
      <c r="D293" t="s">
        <v>13</v>
      </c>
      <c r="E293" t="str">
        <f t="shared" si="21"/>
        <v>Male</v>
      </c>
      <c r="F293" s="3">
        <v>40000</v>
      </c>
      <c r="G293" s="3" t="str">
        <f t="shared" si="22"/>
        <v>Lower Class</v>
      </c>
      <c r="H293">
        <v>0</v>
      </c>
      <c r="I293" t="s">
        <v>15</v>
      </c>
      <c r="J293" t="s">
        <v>22</v>
      </c>
      <c r="K293" t="s">
        <v>20</v>
      </c>
      <c r="L293" t="str">
        <f t="shared" si="23"/>
        <v>Tenant</v>
      </c>
      <c r="M293">
        <v>0</v>
      </c>
      <c r="N293" t="s">
        <v>18</v>
      </c>
      <c r="O293" t="s">
        <v>19</v>
      </c>
      <c r="P293">
        <v>38</v>
      </c>
      <c r="Q293" t="str">
        <f t="shared" si="24"/>
        <v>35 to 44 yrs</v>
      </c>
      <c r="R293" t="s">
        <v>17</v>
      </c>
    </row>
    <row r="294" spans="1:18">
      <c r="A294">
        <v>20923</v>
      </c>
      <c r="B294" t="s">
        <v>13</v>
      </c>
      <c r="C294" t="str">
        <f t="shared" si="20"/>
        <v>Married</v>
      </c>
      <c r="D294" t="s">
        <v>14</v>
      </c>
      <c r="E294" t="str">
        <f t="shared" si="21"/>
        <v>Female</v>
      </c>
      <c r="F294" s="3">
        <v>40000</v>
      </c>
      <c r="G294" s="3" t="str">
        <f t="shared" si="22"/>
        <v>Lower Class</v>
      </c>
      <c r="H294">
        <v>1</v>
      </c>
      <c r="I294" t="s">
        <v>15</v>
      </c>
      <c r="J294" t="s">
        <v>16</v>
      </c>
      <c r="K294" t="s">
        <v>17</v>
      </c>
      <c r="L294" t="str">
        <f t="shared" si="23"/>
        <v>Home Owner</v>
      </c>
      <c r="M294">
        <v>0</v>
      </c>
      <c r="N294" t="s">
        <v>18</v>
      </c>
      <c r="O294" t="s">
        <v>19</v>
      </c>
      <c r="P294">
        <v>42</v>
      </c>
      <c r="Q294" t="str">
        <f t="shared" si="24"/>
        <v>35 to 44 yrs</v>
      </c>
      <c r="R294" t="s">
        <v>17</v>
      </c>
    </row>
    <row r="295" spans="1:18">
      <c r="A295">
        <v>11378</v>
      </c>
      <c r="B295" t="s">
        <v>25</v>
      </c>
      <c r="C295" t="str">
        <f t="shared" si="20"/>
        <v>Single</v>
      </c>
      <c r="D295" t="s">
        <v>14</v>
      </c>
      <c r="E295" t="str">
        <f t="shared" si="21"/>
        <v>Female</v>
      </c>
      <c r="F295" s="3">
        <v>10000</v>
      </c>
      <c r="G295" s="3" t="str">
        <f t="shared" si="22"/>
        <v>Lower Class</v>
      </c>
      <c r="H295">
        <v>1</v>
      </c>
      <c r="I295" t="s">
        <v>30</v>
      </c>
      <c r="J295" t="s">
        <v>28</v>
      </c>
      <c r="K295" t="s">
        <v>20</v>
      </c>
      <c r="L295" t="str">
        <f t="shared" si="23"/>
        <v>Tenant</v>
      </c>
      <c r="M295">
        <v>1</v>
      </c>
      <c r="N295" t="s">
        <v>24</v>
      </c>
      <c r="O295" t="s">
        <v>19</v>
      </c>
      <c r="P295">
        <v>46</v>
      </c>
      <c r="Q295" t="str">
        <f t="shared" si="24"/>
        <v>45 to 54 yrs</v>
      </c>
      <c r="R295" t="s">
        <v>17</v>
      </c>
    </row>
    <row r="296" spans="1:18">
      <c r="A296">
        <v>20851</v>
      </c>
      <c r="B296" t="s">
        <v>25</v>
      </c>
      <c r="C296" t="str">
        <f t="shared" si="20"/>
        <v>Single</v>
      </c>
      <c r="D296" t="s">
        <v>13</v>
      </c>
      <c r="E296" t="str">
        <f t="shared" si="21"/>
        <v>Male</v>
      </c>
      <c r="F296" s="3">
        <v>20000</v>
      </c>
      <c r="G296" s="3" t="str">
        <f t="shared" si="22"/>
        <v>Lower Class</v>
      </c>
      <c r="H296">
        <v>0</v>
      </c>
      <c r="I296" t="s">
        <v>21</v>
      </c>
      <c r="J296" t="s">
        <v>28</v>
      </c>
      <c r="K296" t="s">
        <v>20</v>
      </c>
      <c r="L296" t="str">
        <f t="shared" si="23"/>
        <v>Tenant</v>
      </c>
      <c r="M296">
        <v>1</v>
      </c>
      <c r="N296" t="s">
        <v>24</v>
      </c>
      <c r="O296" t="s">
        <v>19</v>
      </c>
      <c r="P296">
        <v>36</v>
      </c>
      <c r="Q296" t="str">
        <f t="shared" si="24"/>
        <v>35 to 44 yrs</v>
      </c>
      <c r="R296" t="s">
        <v>17</v>
      </c>
    </row>
    <row r="297" spans="1:18">
      <c r="A297">
        <v>21557</v>
      </c>
      <c r="B297" t="s">
        <v>25</v>
      </c>
      <c r="C297" t="str">
        <f t="shared" si="20"/>
        <v>Single</v>
      </c>
      <c r="D297" t="s">
        <v>14</v>
      </c>
      <c r="E297" t="str">
        <f t="shared" si="21"/>
        <v>Female</v>
      </c>
      <c r="F297" s="3">
        <v>110000</v>
      </c>
      <c r="G297" s="3" t="str">
        <f t="shared" si="22"/>
        <v>Middle Class</v>
      </c>
      <c r="H297">
        <v>0</v>
      </c>
      <c r="I297" t="s">
        <v>21</v>
      </c>
      <c r="J297" t="s">
        <v>31</v>
      </c>
      <c r="K297" t="s">
        <v>17</v>
      </c>
      <c r="L297" t="str">
        <f t="shared" si="23"/>
        <v>Home Owner</v>
      </c>
      <c r="M297">
        <v>3</v>
      </c>
      <c r="N297" t="s">
        <v>33</v>
      </c>
      <c r="O297" t="s">
        <v>27</v>
      </c>
      <c r="P297">
        <v>32</v>
      </c>
      <c r="Q297" t="str">
        <f t="shared" si="24"/>
        <v>25 to 34 yrs</v>
      </c>
      <c r="R297" t="s">
        <v>17</v>
      </c>
    </row>
    <row r="298" spans="1:18">
      <c r="A298">
        <v>26663</v>
      </c>
      <c r="B298" t="s">
        <v>25</v>
      </c>
      <c r="C298" t="str">
        <f t="shared" si="20"/>
        <v>Single</v>
      </c>
      <c r="D298" t="s">
        <v>14</v>
      </c>
      <c r="E298" t="str">
        <f t="shared" si="21"/>
        <v>Female</v>
      </c>
      <c r="F298" s="3">
        <v>60000</v>
      </c>
      <c r="G298" s="3" t="str">
        <f t="shared" si="22"/>
        <v>Middle Class</v>
      </c>
      <c r="H298">
        <v>2</v>
      </c>
      <c r="I298" t="s">
        <v>15</v>
      </c>
      <c r="J298" t="s">
        <v>23</v>
      </c>
      <c r="K298" t="s">
        <v>20</v>
      </c>
      <c r="L298" t="str">
        <f t="shared" si="23"/>
        <v>Tenant</v>
      </c>
      <c r="M298">
        <v>1</v>
      </c>
      <c r="N298" t="s">
        <v>18</v>
      </c>
      <c r="O298" t="s">
        <v>27</v>
      </c>
      <c r="P298">
        <v>39</v>
      </c>
      <c r="Q298" t="str">
        <f t="shared" si="24"/>
        <v>35 to 44 yrs</v>
      </c>
      <c r="R298" t="s">
        <v>17</v>
      </c>
    </row>
    <row r="299" spans="1:18">
      <c r="A299">
        <v>11896</v>
      </c>
      <c r="B299" t="s">
        <v>13</v>
      </c>
      <c r="C299" t="str">
        <f t="shared" si="20"/>
        <v>Married</v>
      </c>
      <c r="D299" t="s">
        <v>13</v>
      </c>
      <c r="E299" t="str">
        <f t="shared" si="21"/>
        <v>Male</v>
      </c>
      <c r="F299" s="3">
        <v>100000</v>
      </c>
      <c r="G299" s="3" t="str">
        <f t="shared" si="22"/>
        <v>Middle Class</v>
      </c>
      <c r="H299">
        <v>1</v>
      </c>
      <c r="I299" t="s">
        <v>34</v>
      </c>
      <c r="J299" t="s">
        <v>31</v>
      </c>
      <c r="K299" t="s">
        <v>17</v>
      </c>
      <c r="L299" t="str">
        <f t="shared" si="23"/>
        <v>Home Owner</v>
      </c>
      <c r="M299">
        <v>0</v>
      </c>
      <c r="N299" t="s">
        <v>24</v>
      </c>
      <c r="O299" t="s">
        <v>27</v>
      </c>
      <c r="P299">
        <v>36</v>
      </c>
      <c r="Q299" t="str">
        <f t="shared" si="24"/>
        <v>35 to 44 yrs</v>
      </c>
      <c r="R299" t="s">
        <v>17</v>
      </c>
    </row>
    <row r="300" spans="1:18">
      <c r="A300">
        <v>14189</v>
      </c>
      <c r="B300" t="s">
        <v>13</v>
      </c>
      <c r="C300" t="str">
        <f t="shared" si="20"/>
        <v>Married</v>
      </c>
      <c r="D300" t="s">
        <v>14</v>
      </c>
      <c r="E300" t="str">
        <f t="shared" si="21"/>
        <v>Female</v>
      </c>
      <c r="F300" s="3">
        <v>90000</v>
      </c>
      <c r="G300" s="3" t="str">
        <f t="shared" si="22"/>
        <v>Middle Class</v>
      </c>
      <c r="H300">
        <v>4</v>
      </c>
      <c r="I300" t="s">
        <v>30</v>
      </c>
      <c r="J300" t="s">
        <v>23</v>
      </c>
      <c r="K300" t="s">
        <v>20</v>
      </c>
      <c r="L300" t="str">
        <f t="shared" si="23"/>
        <v>Tenant</v>
      </c>
      <c r="M300">
        <v>2</v>
      </c>
      <c r="N300" t="s">
        <v>24</v>
      </c>
      <c r="O300" t="s">
        <v>19</v>
      </c>
      <c r="P300">
        <v>54</v>
      </c>
      <c r="Q300" t="str">
        <f t="shared" si="24"/>
        <v>45 to 54 yrs</v>
      </c>
      <c r="R300" t="s">
        <v>17</v>
      </c>
    </row>
    <row r="301" spans="1:18">
      <c r="A301">
        <v>13136</v>
      </c>
      <c r="B301" t="s">
        <v>13</v>
      </c>
      <c r="C301" t="str">
        <f t="shared" si="20"/>
        <v>Married</v>
      </c>
      <c r="D301" t="s">
        <v>14</v>
      </c>
      <c r="E301" t="str">
        <f t="shared" si="21"/>
        <v>Female</v>
      </c>
      <c r="F301" s="3">
        <v>30000</v>
      </c>
      <c r="G301" s="3" t="str">
        <f t="shared" si="22"/>
        <v>Lower Class</v>
      </c>
      <c r="H301">
        <v>2</v>
      </c>
      <c r="I301" t="s">
        <v>21</v>
      </c>
      <c r="J301" t="s">
        <v>22</v>
      </c>
      <c r="K301" t="s">
        <v>20</v>
      </c>
      <c r="L301" t="str">
        <f t="shared" si="23"/>
        <v>Tenant</v>
      </c>
      <c r="M301">
        <v>2</v>
      </c>
      <c r="N301" t="s">
        <v>26</v>
      </c>
      <c r="O301" t="s">
        <v>27</v>
      </c>
      <c r="P301">
        <v>69</v>
      </c>
      <c r="Q301" t="str">
        <f t="shared" si="24"/>
        <v>65 yrs &amp; Above</v>
      </c>
      <c r="R301" t="s">
        <v>20</v>
      </c>
    </row>
    <row r="302" spans="1:18">
      <c r="A302">
        <v>25906</v>
      </c>
      <c r="B302" t="s">
        <v>25</v>
      </c>
      <c r="C302" t="str">
        <f t="shared" si="20"/>
        <v>Single</v>
      </c>
      <c r="D302" t="s">
        <v>14</v>
      </c>
      <c r="E302" t="str">
        <f t="shared" si="21"/>
        <v>Female</v>
      </c>
      <c r="F302" s="3">
        <v>10000</v>
      </c>
      <c r="G302" s="3" t="str">
        <f t="shared" si="22"/>
        <v>Lower Class</v>
      </c>
      <c r="H302">
        <v>5</v>
      </c>
      <c r="I302" t="s">
        <v>30</v>
      </c>
      <c r="J302" t="s">
        <v>16</v>
      </c>
      <c r="K302" t="s">
        <v>20</v>
      </c>
      <c r="L302" t="str">
        <f t="shared" si="23"/>
        <v>Tenant</v>
      </c>
      <c r="M302">
        <v>2</v>
      </c>
      <c r="N302" t="s">
        <v>29</v>
      </c>
      <c r="O302" t="s">
        <v>27</v>
      </c>
      <c r="P302">
        <v>62</v>
      </c>
      <c r="Q302" t="str">
        <f t="shared" si="24"/>
        <v>55 to 64 yrs</v>
      </c>
      <c r="R302" t="s">
        <v>20</v>
      </c>
    </row>
    <row r="303" spans="1:18">
      <c r="A303">
        <v>17926</v>
      </c>
      <c r="B303" t="s">
        <v>25</v>
      </c>
      <c r="C303" t="str">
        <f t="shared" si="20"/>
        <v>Single</v>
      </c>
      <c r="D303" t="s">
        <v>14</v>
      </c>
      <c r="E303" t="str">
        <f t="shared" si="21"/>
        <v>Female</v>
      </c>
      <c r="F303" s="3">
        <v>40000</v>
      </c>
      <c r="G303" s="3" t="str">
        <f t="shared" si="22"/>
        <v>Lower Class</v>
      </c>
      <c r="H303">
        <v>0</v>
      </c>
      <c r="I303" t="s">
        <v>15</v>
      </c>
      <c r="J303" t="s">
        <v>22</v>
      </c>
      <c r="K303" t="s">
        <v>20</v>
      </c>
      <c r="L303" t="str">
        <f t="shared" si="23"/>
        <v>Tenant</v>
      </c>
      <c r="M303">
        <v>0</v>
      </c>
      <c r="N303" t="s">
        <v>18</v>
      </c>
      <c r="O303" t="s">
        <v>27</v>
      </c>
      <c r="P303">
        <v>28</v>
      </c>
      <c r="Q303" t="str">
        <f t="shared" si="24"/>
        <v>25 to 34 yrs</v>
      </c>
      <c r="R303" t="s">
        <v>17</v>
      </c>
    </row>
    <row r="304" spans="1:18">
      <c r="A304">
        <v>26928</v>
      </c>
      <c r="B304" t="s">
        <v>25</v>
      </c>
      <c r="C304" t="str">
        <f t="shared" si="20"/>
        <v>Single</v>
      </c>
      <c r="D304" t="s">
        <v>13</v>
      </c>
      <c r="E304" t="str">
        <f t="shared" si="21"/>
        <v>Male</v>
      </c>
      <c r="F304" s="3">
        <v>30000</v>
      </c>
      <c r="G304" s="3" t="str">
        <f t="shared" si="22"/>
        <v>Lower Class</v>
      </c>
      <c r="H304">
        <v>1</v>
      </c>
      <c r="I304" t="s">
        <v>15</v>
      </c>
      <c r="J304" t="s">
        <v>22</v>
      </c>
      <c r="K304" t="s">
        <v>17</v>
      </c>
      <c r="L304" t="str">
        <f t="shared" si="23"/>
        <v>Home Owner</v>
      </c>
      <c r="M304">
        <v>0</v>
      </c>
      <c r="N304" t="s">
        <v>18</v>
      </c>
      <c r="O304" t="s">
        <v>19</v>
      </c>
      <c r="P304">
        <v>62</v>
      </c>
      <c r="Q304" t="str">
        <f t="shared" si="24"/>
        <v>55 to 64 yrs</v>
      </c>
      <c r="R304" t="s">
        <v>17</v>
      </c>
    </row>
    <row r="305" spans="1:18">
      <c r="A305">
        <v>20897</v>
      </c>
      <c r="B305" t="s">
        <v>13</v>
      </c>
      <c r="C305" t="str">
        <f t="shared" si="20"/>
        <v>Married</v>
      </c>
      <c r="D305" t="s">
        <v>14</v>
      </c>
      <c r="E305" t="str">
        <f t="shared" si="21"/>
        <v>Female</v>
      </c>
      <c r="F305" s="3">
        <v>30000</v>
      </c>
      <c r="G305" s="3" t="str">
        <f t="shared" si="22"/>
        <v>Lower Class</v>
      </c>
      <c r="H305">
        <v>1</v>
      </c>
      <c r="I305" t="s">
        <v>15</v>
      </c>
      <c r="J305" t="s">
        <v>16</v>
      </c>
      <c r="K305" t="s">
        <v>17</v>
      </c>
      <c r="L305" t="str">
        <f t="shared" si="23"/>
        <v>Home Owner</v>
      </c>
      <c r="M305">
        <v>2</v>
      </c>
      <c r="N305" t="s">
        <v>18</v>
      </c>
      <c r="O305" t="s">
        <v>19</v>
      </c>
      <c r="P305">
        <v>40</v>
      </c>
      <c r="Q305" t="str">
        <f t="shared" si="24"/>
        <v>35 to 44 yrs</v>
      </c>
      <c r="R305" t="s">
        <v>20</v>
      </c>
    </row>
    <row r="306" spans="1:18">
      <c r="A306">
        <v>28207</v>
      </c>
      <c r="B306" t="s">
        <v>13</v>
      </c>
      <c r="C306" t="str">
        <f t="shared" si="20"/>
        <v>Married</v>
      </c>
      <c r="D306" t="s">
        <v>13</v>
      </c>
      <c r="E306" t="str">
        <f t="shared" si="21"/>
        <v>Male</v>
      </c>
      <c r="F306" s="3">
        <v>80000</v>
      </c>
      <c r="G306" s="3" t="str">
        <f t="shared" si="22"/>
        <v>Middle Class</v>
      </c>
      <c r="H306">
        <v>4</v>
      </c>
      <c r="I306" t="s">
        <v>34</v>
      </c>
      <c r="J306" t="s">
        <v>31</v>
      </c>
      <c r="K306" t="s">
        <v>17</v>
      </c>
      <c r="L306" t="str">
        <f t="shared" si="23"/>
        <v>Home Owner</v>
      </c>
      <c r="M306">
        <v>1</v>
      </c>
      <c r="N306" t="s">
        <v>18</v>
      </c>
      <c r="O306" t="s">
        <v>27</v>
      </c>
      <c r="P306">
        <v>36</v>
      </c>
      <c r="Q306" t="str">
        <f t="shared" si="24"/>
        <v>35 to 44 yrs</v>
      </c>
      <c r="R306" t="s">
        <v>17</v>
      </c>
    </row>
    <row r="307" spans="1:18">
      <c r="A307">
        <v>25923</v>
      </c>
      <c r="B307" t="s">
        <v>25</v>
      </c>
      <c r="C307" t="str">
        <f t="shared" si="20"/>
        <v>Single</v>
      </c>
      <c r="D307" t="s">
        <v>13</v>
      </c>
      <c r="E307" t="str">
        <f t="shared" si="21"/>
        <v>Male</v>
      </c>
      <c r="F307" s="3">
        <v>10000</v>
      </c>
      <c r="G307" s="3" t="str">
        <f t="shared" si="22"/>
        <v>Lower Class</v>
      </c>
      <c r="H307">
        <v>2</v>
      </c>
      <c r="I307" t="s">
        <v>32</v>
      </c>
      <c r="J307" t="s">
        <v>22</v>
      </c>
      <c r="K307" t="s">
        <v>17</v>
      </c>
      <c r="L307" t="str">
        <f t="shared" si="23"/>
        <v>Home Owner</v>
      </c>
      <c r="M307">
        <v>2</v>
      </c>
      <c r="N307" t="s">
        <v>26</v>
      </c>
      <c r="O307" t="s">
        <v>27</v>
      </c>
      <c r="P307">
        <v>58</v>
      </c>
      <c r="Q307" t="str">
        <f t="shared" si="24"/>
        <v>55 to 64 yrs</v>
      </c>
      <c r="R307" t="s">
        <v>20</v>
      </c>
    </row>
    <row r="308" spans="1:18">
      <c r="A308">
        <v>11000</v>
      </c>
      <c r="B308" t="s">
        <v>13</v>
      </c>
      <c r="C308" t="str">
        <f t="shared" si="20"/>
        <v>Married</v>
      </c>
      <c r="D308" t="s">
        <v>13</v>
      </c>
      <c r="E308" t="str">
        <f t="shared" si="21"/>
        <v>Male</v>
      </c>
      <c r="F308" s="3">
        <v>90000</v>
      </c>
      <c r="G308" s="3" t="str">
        <f t="shared" si="22"/>
        <v>Middle Class</v>
      </c>
      <c r="H308">
        <v>2</v>
      </c>
      <c r="I308" t="s">
        <v>15</v>
      </c>
      <c r="J308" t="s">
        <v>23</v>
      </c>
      <c r="K308" t="s">
        <v>17</v>
      </c>
      <c r="L308" t="str">
        <f t="shared" si="23"/>
        <v>Home Owner</v>
      </c>
      <c r="M308">
        <v>0</v>
      </c>
      <c r="N308" t="s">
        <v>29</v>
      </c>
      <c r="O308" t="s">
        <v>27</v>
      </c>
      <c r="P308">
        <v>40</v>
      </c>
      <c r="Q308" t="str">
        <f t="shared" si="24"/>
        <v>35 to 44 yrs</v>
      </c>
      <c r="R308" t="s">
        <v>17</v>
      </c>
    </row>
    <row r="309" spans="1:18">
      <c r="A309">
        <v>20974</v>
      </c>
      <c r="B309" t="s">
        <v>13</v>
      </c>
      <c r="C309" t="str">
        <f t="shared" si="20"/>
        <v>Married</v>
      </c>
      <c r="D309" t="s">
        <v>13</v>
      </c>
      <c r="E309" t="str">
        <f t="shared" si="21"/>
        <v>Male</v>
      </c>
      <c r="F309" s="3">
        <v>10000</v>
      </c>
      <c r="G309" s="3" t="str">
        <f t="shared" si="22"/>
        <v>Lower Class</v>
      </c>
      <c r="H309">
        <v>2</v>
      </c>
      <c r="I309" t="s">
        <v>15</v>
      </c>
      <c r="J309" t="s">
        <v>22</v>
      </c>
      <c r="K309" t="s">
        <v>17</v>
      </c>
      <c r="L309" t="str">
        <f t="shared" si="23"/>
        <v>Home Owner</v>
      </c>
      <c r="M309">
        <v>1</v>
      </c>
      <c r="N309" t="s">
        <v>18</v>
      </c>
      <c r="O309" t="s">
        <v>19</v>
      </c>
      <c r="P309">
        <v>66</v>
      </c>
      <c r="Q309" t="str">
        <f t="shared" si="24"/>
        <v>65 yrs &amp; Above</v>
      </c>
      <c r="R309" t="s">
        <v>20</v>
      </c>
    </row>
    <row r="310" spans="1:18">
      <c r="A310">
        <v>28758</v>
      </c>
      <c r="B310" t="s">
        <v>13</v>
      </c>
      <c r="C310" t="str">
        <f t="shared" si="20"/>
        <v>Married</v>
      </c>
      <c r="D310" t="s">
        <v>13</v>
      </c>
      <c r="E310" t="str">
        <f t="shared" si="21"/>
        <v>Male</v>
      </c>
      <c r="F310" s="3">
        <v>40000</v>
      </c>
      <c r="G310" s="3" t="str">
        <f t="shared" si="22"/>
        <v>Lower Class</v>
      </c>
      <c r="H310">
        <v>2</v>
      </c>
      <c r="I310" t="s">
        <v>21</v>
      </c>
      <c r="J310" t="s">
        <v>22</v>
      </c>
      <c r="K310" t="s">
        <v>17</v>
      </c>
      <c r="L310" t="str">
        <f t="shared" si="23"/>
        <v>Home Owner</v>
      </c>
      <c r="M310">
        <v>1</v>
      </c>
      <c r="N310" t="s">
        <v>29</v>
      </c>
      <c r="O310" t="s">
        <v>19</v>
      </c>
      <c r="P310">
        <v>35</v>
      </c>
      <c r="Q310" t="str">
        <f t="shared" si="24"/>
        <v>35 to 44 yrs</v>
      </c>
      <c r="R310" t="s">
        <v>17</v>
      </c>
    </row>
    <row r="311" spans="1:18">
      <c r="A311">
        <v>11381</v>
      </c>
      <c r="B311" t="s">
        <v>13</v>
      </c>
      <c r="C311" t="str">
        <f t="shared" si="20"/>
        <v>Married</v>
      </c>
      <c r="D311" t="s">
        <v>14</v>
      </c>
      <c r="E311" t="str">
        <f t="shared" si="21"/>
        <v>Female</v>
      </c>
      <c r="F311" s="3">
        <v>20000</v>
      </c>
      <c r="G311" s="3" t="str">
        <f t="shared" si="22"/>
        <v>Lower Class</v>
      </c>
      <c r="H311">
        <v>2</v>
      </c>
      <c r="I311" t="s">
        <v>21</v>
      </c>
      <c r="J311" t="s">
        <v>28</v>
      </c>
      <c r="K311" t="s">
        <v>17</v>
      </c>
      <c r="L311" t="str">
        <f t="shared" si="23"/>
        <v>Home Owner</v>
      </c>
      <c r="M311">
        <v>1</v>
      </c>
      <c r="N311" t="s">
        <v>24</v>
      </c>
      <c r="O311" t="s">
        <v>19</v>
      </c>
      <c r="P311">
        <v>47</v>
      </c>
      <c r="Q311" t="str">
        <f t="shared" si="24"/>
        <v>45 to 54 yrs</v>
      </c>
      <c r="R311" t="s">
        <v>17</v>
      </c>
    </row>
    <row r="312" spans="1:18">
      <c r="A312">
        <v>17522</v>
      </c>
      <c r="B312" t="s">
        <v>13</v>
      </c>
      <c r="C312" t="str">
        <f t="shared" si="20"/>
        <v>Married</v>
      </c>
      <c r="D312" t="s">
        <v>13</v>
      </c>
      <c r="E312" t="str">
        <f t="shared" si="21"/>
        <v>Male</v>
      </c>
      <c r="F312" s="3">
        <v>120000</v>
      </c>
      <c r="G312" s="3" t="str">
        <f t="shared" si="22"/>
        <v>Upper Middle Class</v>
      </c>
      <c r="H312">
        <v>4</v>
      </c>
      <c r="I312" t="s">
        <v>15</v>
      </c>
      <c r="J312" t="s">
        <v>31</v>
      </c>
      <c r="K312" t="s">
        <v>17</v>
      </c>
      <c r="L312" t="str">
        <f t="shared" si="23"/>
        <v>Home Owner</v>
      </c>
      <c r="M312">
        <v>1</v>
      </c>
      <c r="N312" t="s">
        <v>24</v>
      </c>
      <c r="O312" t="s">
        <v>27</v>
      </c>
      <c r="P312">
        <v>47</v>
      </c>
      <c r="Q312" t="str">
        <f t="shared" si="24"/>
        <v>45 to 54 yrs</v>
      </c>
      <c r="R312" t="s">
        <v>20</v>
      </c>
    </row>
    <row r="313" spans="1:18">
      <c r="A313">
        <v>21207</v>
      </c>
      <c r="B313" t="s">
        <v>13</v>
      </c>
      <c r="C313" t="str">
        <f t="shared" si="20"/>
        <v>Married</v>
      </c>
      <c r="D313" t="s">
        <v>13</v>
      </c>
      <c r="E313" t="str">
        <f t="shared" si="21"/>
        <v>Male</v>
      </c>
      <c r="F313" s="3">
        <v>60000</v>
      </c>
      <c r="G313" s="3" t="str">
        <f t="shared" si="22"/>
        <v>Middle Class</v>
      </c>
      <c r="H313">
        <v>1</v>
      </c>
      <c r="I313" t="s">
        <v>21</v>
      </c>
      <c r="J313" t="s">
        <v>16</v>
      </c>
      <c r="K313" t="s">
        <v>17</v>
      </c>
      <c r="L313" t="str">
        <f t="shared" si="23"/>
        <v>Home Owner</v>
      </c>
      <c r="M313">
        <v>1</v>
      </c>
      <c r="N313" t="s">
        <v>26</v>
      </c>
      <c r="O313" t="s">
        <v>27</v>
      </c>
      <c r="P313">
        <v>46</v>
      </c>
      <c r="Q313" t="str">
        <f t="shared" si="24"/>
        <v>45 to 54 yrs</v>
      </c>
      <c r="R313" t="s">
        <v>20</v>
      </c>
    </row>
    <row r="314" spans="1:18">
      <c r="A314">
        <v>28102</v>
      </c>
      <c r="B314" t="s">
        <v>13</v>
      </c>
      <c r="C314" t="str">
        <f t="shared" si="20"/>
        <v>Married</v>
      </c>
      <c r="D314" t="s">
        <v>13</v>
      </c>
      <c r="E314" t="str">
        <f t="shared" si="21"/>
        <v>Male</v>
      </c>
      <c r="F314" s="3">
        <v>20000</v>
      </c>
      <c r="G314" s="3" t="str">
        <f t="shared" si="22"/>
        <v>Lower Class</v>
      </c>
      <c r="H314">
        <v>4</v>
      </c>
      <c r="I314" t="s">
        <v>30</v>
      </c>
      <c r="J314" t="s">
        <v>16</v>
      </c>
      <c r="K314" t="s">
        <v>17</v>
      </c>
      <c r="L314" t="str">
        <f t="shared" si="23"/>
        <v>Home Owner</v>
      </c>
      <c r="M314">
        <v>2</v>
      </c>
      <c r="N314" t="s">
        <v>26</v>
      </c>
      <c r="O314" t="s">
        <v>27</v>
      </c>
      <c r="P314">
        <v>58</v>
      </c>
      <c r="Q314" t="str">
        <f t="shared" si="24"/>
        <v>55 to 64 yrs</v>
      </c>
      <c r="R314" t="s">
        <v>17</v>
      </c>
    </row>
    <row r="315" spans="1:18">
      <c r="A315">
        <v>23105</v>
      </c>
      <c r="B315" t="s">
        <v>25</v>
      </c>
      <c r="C315" t="str">
        <f t="shared" si="20"/>
        <v>Single</v>
      </c>
      <c r="D315" t="s">
        <v>13</v>
      </c>
      <c r="E315" t="str">
        <f t="shared" si="21"/>
        <v>Male</v>
      </c>
      <c r="F315" s="3">
        <v>40000</v>
      </c>
      <c r="G315" s="3" t="str">
        <f t="shared" si="22"/>
        <v>Lower Class</v>
      </c>
      <c r="H315">
        <v>3</v>
      </c>
      <c r="I315" t="s">
        <v>32</v>
      </c>
      <c r="J315" t="s">
        <v>22</v>
      </c>
      <c r="K315" t="s">
        <v>20</v>
      </c>
      <c r="L315" t="str">
        <f t="shared" si="23"/>
        <v>Tenant</v>
      </c>
      <c r="M315">
        <v>2</v>
      </c>
      <c r="N315" t="s">
        <v>26</v>
      </c>
      <c r="O315" t="s">
        <v>27</v>
      </c>
      <c r="P315">
        <v>52</v>
      </c>
      <c r="Q315" t="str">
        <f t="shared" si="24"/>
        <v>45 to 54 yrs</v>
      </c>
      <c r="R315" t="s">
        <v>17</v>
      </c>
    </row>
    <row r="316" spans="1:18">
      <c r="A316">
        <v>18740</v>
      </c>
      <c r="B316" t="s">
        <v>13</v>
      </c>
      <c r="C316" t="str">
        <f t="shared" si="20"/>
        <v>Married</v>
      </c>
      <c r="D316" t="s">
        <v>13</v>
      </c>
      <c r="E316" t="str">
        <f t="shared" si="21"/>
        <v>Male</v>
      </c>
      <c r="F316" s="3">
        <v>80000</v>
      </c>
      <c r="G316" s="3" t="str">
        <f t="shared" si="22"/>
        <v>Middle Class</v>
      </c>
      <c r="H316">
        <v>5</v>
      </c>
      <c r="I316" t="s">
        <v>15</v>
      </c>
      <c r="J316" t="s">
        <v>23</v>
      </c>
      <c r="K316" t="s">
        <v>20</v>
      </c>
      <c r="L316" t="str">
        <f t="shared" si="23"/>
        <v>Tenant</v>
      </c>
      <c r="M316">
        <v>1</v>
      </c>
      <c r="N316" t="s">
        <v>18</v>
      </c>
      <c r="O316" t="s">
        <v>27</v>
      </c>
      <c r="P316">
        <v>47</v>
      </c>
      <c r="Q316" t="str">
        <f t="shared" si="24"/>
        <v>45 to 54 yrs</v>
      </c>
      <c r="R316" t="s">
        <v>17</v>
      </c>
    </row>
    <row r="317" spans="1:18">
      <c r="A317">
        <v>21213</v>
      </c>
      <c r="B317" t="s">
        <v>25</v>
      </c>
      <c r="C317" t="str">
        <f t="shared" si="20"/>
        <v>Single</v>
      </c>
      <c r="D317" t="s">
        <v>13</v>
      </c>
      <c r="E317" t="str">
        <f t="shared" si="21"/>
        <v>Male</v>
      </c>
      <c r="F317" s="3">
        <v>70000</v>
      </c>
      <c r="G317" s="3" t="str">
        <f t="shared" si="22"/>
        <v>Middle Class</v>
      </c>
      <c r="H317">
        <v>0</v>
      </c>
      <c r="I317" t="s">
        <v>15</v>
      </c>
      <c r="J317" t="s">
        <v>23</v>
      </c>
      <c r="K317" t="s">
        <v>20</v>
      </c>
      <c r="L317" t="str">
        <f t="shared" si="23"/>
        <v>Tenant</v>
      </c>
      <c r="M317">
        <v>1</v>
      </c>
      <c r="N317" t="s">
        <v>26</v>
      </c>
      <c r="O317" t="s">
        <v>27</v>
      </c>
      <c r="P317">
        <v>41</v>
      </c>
      <c r="Q317" t="str">
        <f t="shared" si="24"/>
        <v>35 to 44 yrs</v>
      </c>
      <c r="R317" t="s">
        <v>20</v>
      </c>
    </row>
    <row r="318" spans="1:18">
      <c r="A318">
        <v>17352</v>
      </c>
      <c r="B318" t="s">
        <v>13</v>
      </c>
      <c r="C318" t="str">
        <f t="shared" si="20"/>
        <v>Married</v>
      </c>
      <c r="D318" t="s">
        <v>13</v>
      </c>
      <c r="E318" t="str">
        <f t="shared" si="21"/>
        <v>Male</v>
      </c>
      <c r="F318" s="3">
        <v>50000</v>
      </c>
      <c r="G318" s="3" t="str">
        <f t="shared" si="22"/>
        <v>Lower Class</v>
      </c>
      <c r="H318">
        <v>2</v>
      </c>
      <c r="I318" t="s">
        <v>34</v>
      </c>
      <c r="J318" t="s">
        <v>31</v>
      </c>
      <c r="K318" t="s">
        <v>17</v>
      </c>
      <c r="L318" t="str">
        <f t="shared" si="23"/>
        <v>Home Owner</v>
      </c>
      <c r="M318">
        <v>1</v>
      </c>
      <c r="N318" t="s">
        <v>26</v>
      </c>
      <c r="O318" t="s">
        <v>27</v>
      </c>
      <c r="P318">
        <v>64</v>
      </c>
      <c r="Q318" t="str">
        <f t="shared" si="24"/>
        <v>55 to 64 yrs</v>
      </c>
      <c r="R318" t="s">
        <v>17</v>
      </c>
    </row>
    <row r="319" spans="1:18">
      <c r="A319">
        <v>14154</v>
      </c>
      <c r="B319" t="s">
        <v>13</v>
      </c>
      <c r="C319" t="str">
        <f t="shared" si="20"/>
        <v>Married</v>
      </c>
      <c r="D319" t="s">
        <v>13</v>
      </c>
      <c r="E319" t="str">
        <f t="shared" si="21"/>
        <v>Male</v>
      </c>
      <c r="F319" s="3">
        <v>30000</v>
      </c>
      <c r="G319" s="3" t="str">
        <f t="shared" si="22"/>
        <v>Lower Class</v>
      </c>
      <c r="H319">
        <v>0</v>
      </c>
      <c r="I319" t="s">
        <v>15</v>
      </c>
      <c r="J319" t="s">
        <v>22</v>
      </c>
      <c r="K319" t="s">
        <v>17</v>
      </c>
      <c r="L319" t="str">
        <f t="shared" si="23"/>
        <v>Home Owner</v>
      </c>
      <c r="M319">
        <v>0</v>
      </c>
      <c r="N319" t="s">
        <v>18</v>
      </c>
      <c r="O319" t="s">
        <v>19</v>
      </c>
      <c r="P319">
        <v>35</v>
      </c>
      <c r="Q319" t="str">
        <f t="shared" si="24"/>
        <v>35 to 44 yrs</v>
      </c>
      <c r="R319" t="s">
        <v>17</v>
      </c>
    </row>
    <row r="320" spans="1:18">
      <c r="A320">
        <v>19066</v>
      </c>
      <c r="B320" t="s">
        <v>13</v>
      </c>
      <c r="C320" t="str">
        <f t="shared" si="20"/>
        <v>Married</v>
      </c>
      <c r="D320" t="s">
        <v>13</v>
      </c>
      <c r="E320" t="str">
        <f t="shared" si="21"/>
        <v>Male</v>
      </c>
      <c r="F320" s="3">
        <v>130000</v>
      </c>
      <c r="G320" s="3" t="str">
        <f t="shared" si="22"/>
        <v>Upper Middle Class</v>
      </c>
      <c r="H320">
        <v>4</v>
      </c>
      <c r="I320" t="s">
        <v>21</v>
      </c>
      <c r="J320" t="s">
        <v>23</v>
      </c>
      <c r="K320" t="s">
        <v>20</v>
      </c>
      <c r="L320" t="str">
        <f t="shared" si="23"/>
        <v>Tenant</v>
      </c>
      <c r="M320">
        <v>3</v>
      </c>
      <c r="N320" t="s">
        <v>33</v>
      </c>
      <c r="O320" t="s">
        <v>19</v>
      </c>
      <c r="P320">
        <v>54</v>
      </c>
      <c r="Q320" t="str">
        <f t="shared" si="24"/>
        <v>45 to 54 yrs</v>
      </c>
      <c r="R320" t="s">
        <v>20</v>
      </c>
    </row>
    <row r="321" spans="1:18">
      <c r="A321">
        <v>11386</v>
      </c>
      <c r="B321" t="s">
        <v>13</v>
      </c>
      <c r="C321" t="str">
        <f t="shared" si="20"/>
        <v>Married</v>
      </c>
      <c r="D321" t="s">
        <v>14</v>
      </c>
      <c r="E321" t="str">
        <f t="shared" si="21"/>
        <v>Female</v>
      </c>
      <c r="F321" s="3">
        <v>30000</v>
      </c>
      <c r="G321" s="3" t="str">
        <f t="shared" si="22"/>
        <v>Lower Class</v>
      </c>
      <c r="H321">
        <v>3</v>
      </c>
      <c r="I321" t="s">
        <v>15</v>
      </c>
      <c r="J321" t="s">
        <v>22</v>
      </c>
      <c r="K321" t="s">
        <v>17</v>
      </c>
      <c r="L321" t="str">
        <f t="shared" si="23"/>
        <v>Home Owner</v>
      </c>
      <c r="M321">
        <v>0</v>
      </c>
      <c r="N321" t="s">
        <v>18</v>
      </c>
      <c r="O321" t="s">
        <v>19</v>
      </c>
      <c r="P321">
        <v>45</v>
      </c>
      <c r="Q321" t="str">
        <f t="shared" si="24"/>
        <v>45 to 54 yrs</v>
      </c>
      <c r="R321" t="s">
        <v>20</v>
      </c>
    </row>
    <row r="322" spans="1:18">
      <c r="A322">
        <v>20228</v>
      </c>
      <c r="B322" t="s">
        <v>13</v>
      </c>
      <c r="C322" t="str">
        <f t="shared" si="20"/>
        <v>Married</v>
      </c>
      <c r="D322" t="s">
        <v>13</v>
      </c>
      <c r="E322" t="str">
        <f t="shared" si="21"/>
        <v>Male</v>
      </c>
      <c r="F322" s="3">
        <v>100000</v>
      </c>
      <c r="G322" s="3" t="str">
        <f t="shared" si="22"/>
        <v>Middle Class</v>
      </c>
      <c r="H322">
        <v>0</v>
      </c>
      <c r="I322" t="s">
        <v>34</v>
      </c>
      <c r="J322" t="s">
        <v>31</v>
      </c>
      <c r="K322" t="s">
        <v>17</v>
      </c>
      <c r="L322" t="str">
        <f t="shared" si="23"/>
        <v>Home Owner</v>
      </c>
      <c r="M322">
        <v>0</v>
      </c>
      <c r="N322" t="s">
        <v>24</v>
      </c>
      <c r="O322" t="s">
        <v>27</v>
      </c>
      <c r="P322">
        <v>40</v>
      </c>
      <c r="Q322" t="str">
        <f t="shared" si="24"/>
        <v>35 to 44 yrs</v>
      </c>
      <c r="R322" t="s">
        <v>17</v>
      </c>
    </row>
    <row r="323" spans="1:18">
      <c r="A323">
        <v>16675</v>
      </c>
      <c r="B323" t="s">
        <v>25</v>
      </c>
      <c r="C323" t="str">
        <f t="shared" ref="C323:C386" si="25">IF($B$2:$B$1001="M", "Married","Single")</f>
        <v>Single</v>
      </c>
      <c r="D323" t="s">
        <v>14</v>
      </c>
      <c r="E323" t="str">
        <f t="shared" ref="E323:E386" si="26">IF($D$2:$D$1001="F", "Female", "Male")</f>
        <v>Female</v>
      </c>
      <c r="F323" s="3">
        <v>160000</v>
      </c>
      <c r="G323" s="3" t="str">
        <f t="shared" ref="G323:G386" si="27">_xlfn.IFS(F323&lt;=57375,"Lower Class",F323&lt;=114750,"Middle Class",F323&lt;=253414,"Upper Middle Class",TRUE,"Upper Class")</f>
        <v>Upper Middle Class</v>
      </c>
      <c r="H323">
        <v>0</v>
      </c>
      <c r="I323" t="s">
        <v>34</v>
      </c>
      <c r="J323" t="s">
        <v>31</v>
      </c>
      <c r="K323" t="s">
        <v>20</v>
      </c>
      <c r="L323" t="str">
        <f t="shared" ref="L323:L386" si="28">IF($K$2:$K$1001="Yes", "Home Owner","Tenant")</f>
        <v>Tenant</v>
      </c>
      <c r="M323">
        <v>3</v>
      </c>
      <c r="N323" t="s">
        <v>18</v>
      </c>
      <c r="O323" t="s">
        <v>27</v>
      </c>
      <c r="P323">
        <v>47</v>
      </c>
      <c r="Q323" t="str">
        <f t="shared" ref="Q323:Q386" si="29">_xlfn.IFS(P323&lt;25,"Less than 25 yrs",P323&lt;35,"25 to 34 yrs",P323&lt;45,"35 to 44 yrs",P323&lt;55,"45 to 54 yrs",P323&lt;65,"55 to 64 yrs", TRUE, "65 yrs &amp; Above")</f>
        <v>45 to 54 yrs</v>
      </c>
      <c r="R323" t="s">
        <v>17</v>
      </c>
    </row>
    <row r="324" spans="1:18">
      <c r="A324">
        <v>16410</v>
      </c>
      <c r="B324" t="s">
        <v>25</v>
      </c>
      <c r="C324" t="str">
        <f t="shared" si="25"/>
        <v>Single</v>
      </c>
      <c r="D324" t="s">
        <v>14</v>
      </c>
      <c r="E324" t="str">
        <f t="shared" si="26"/>
        <v>Female</v>
      </c>
      <c r="F324" s="3">
        <v>10000</v>
      </c>
      <c r="G324" s="3" t="str">
        <f t="shared" si="27"/>
        <v>Lower Class</v>
      </c>
      <c r="H324">
        <v>4</v>
      </c>
      <c r="I324" t="s">
        <v>32</v>
      </c>
      <c r="J324" t="s">
        <v>28</v>
      </c>
      <c r="K324" t="s">
        <v>17</v>
      </c>
      <c r="L324" t="str">
        <f t="shared" si="28"/>
        <v>Home Owner</v>
      </c>
      <c r="M324">
        <v>2</v>
      </c>
      <c r="N324" t="s">
        <v>18</v>
      </c>
      <c r="O324" t="s">
        <v>19</v>
      </c>
      <c r="P324">
        <v>41</v>
      </c>
      <c r="Q324" t="str">
        <f t="shared" si="29"/>
        <v>35 to 44 yrs</v>
      </c>
      <c r="R324" t="s">
        <v>17</v>
      </c>
    </row>
    <row r="325" spans="1:18">
      <c r="A325">
        <v>27760</v>
      </c>
      <c r="B325" t="s">
        <v>25</v>
      </c>
      <c r="C325" t="str">
        <f t="shared" si="25"/>
        <v>Single</v>
      </c>
      <c r="D325" t="s">
        <v>14</v>
      </c>
      <c r="E325" t="str">
        <f t="shared" si="26"/>
        <v>Female</v>
      </c>
      <c r="F325" s="3">
        <v>40000</v>
      </c>
      <c r="G325" s="3" t="str">
        <f t="shared" si="27"/>
        <v>Lower Class</v>
      </c>
      <c r="H325">
        <v>0</v>
      </c>
      <c r="I325" t="s">
        <v>34</v>
      </c>
      <c r="J325" t="s">
        <v>22</v>
      </c>
      <c r="K325" t="s">
        <v>20</v>
      </c>
      <c r="L325" t="str">
        <f t="shared" si="28"/>
        <v>Tenant</v>
      </c>
      <c r="M325">
        <v>0</v>
      </c>
      <c r="N325" t="s">
        <v>18</v>
      </c>
      <c r="O325" t="s">
        <v>19</v>
      </c>
      <c r="P325">
        <v>37</v>
      </c>
      <c r="Q325" t="str">
        <f t="shared" si="29"/>
        <v>35 to 44 yrs</v>
      </c>
      <c r="R325" t="s">
        <v>17</v>
      </c>
    </row>
    <row r="326" spans="1:18">
      <c r="A326">
        <v>22930</v>
      </c>
      <c r="B326" t="s">
        <v>13</v>
      </c>
      <c r="C326" t="str">
        <f t="shared" si="25"/>
        <v>Married</v>
      </c>
      <c r="D326" t="s">
        <v>13</v>
      </c>
      <c r="E326" t="str">
        <f t="shared" si="26"/>
        <v>Male</v>
      </c>
      <c r="F326" s="3">
        <v>90000</v>
      </c>
      <c r="G326" s="3" t="str">
        <f t="shared" si="27"/>
        <v>Middle Class</v>
      </c>
      <c r="H326">
        <v>4</v>
      </c>
      <c r="I326" t="s">
        <v>15</v>
      </c>
      <c r="J326" t="s">
        <v>23</v>
      </c>
      <c r="K326" t="s">
        <v>17</v>
      </c>
      <c r="L326" t="str">
        <f t="shared" si="28"/>
        <v>Home Owner</v>
      </c>
      <c r="M326">
        <v>0</v>
      </c>
      <c r="N326" t="s">
        <v>29</v>
      </c>
      <c r="O326" t="s">
        <v>27</v>
      </c>
      <c r="P326">
        <v>38</v>
      </c>
      <c r="Q326" t="str">
        <f t="shared" si="29"/>
        <v>35 to 44 yrs</v>
      </c>
      <c r="R326" t="s">
        <v>17</v>
      </c>
    </row>
    <row r="327" spans="1:18">
      <c r="A327">
        <v>23780</v>
      </c>
      <c r="B327" t="s">
        <v>25</v>
      </c>
      <c r="C327" t="str">
        <f t="shared" si="25"/>
        <v>Single</v>
      </c>
      <c r="D327" t="s">
        <v>13</v>
      </c>
      <c r="E327" t="str">
        <f t="shared" si="26"/>
        <v>Male</v>
      </c>
      <c r="F327" s="3">
        <v>40000</v>
      </c>
      <c r="G327" s="3" t="str">
        <f t="shared" si="27"/>
        <v>Lower Class</v>
      </c>
      <c r="H327">
        <v>2</v>
      </c>
      <c r="I327" t="s">
        <v>21</v>
      </c>
      <c r="J327" t="s">
        <v>22</v>
      </c>
      <c r="K327" t="s">
        <v>20</v>
      </c>
      <c r="L327" t="str">
        <f t="shared" si="28"/>
        <v>Tenant</v>
      </c>
      <c r="M327">
        <v>2</v>
      </c>
      <c r="N327" t="s">
        <v>18</v>
      </c>
      <c r="O327" t="s">
        <v>19</v>
      </c>
      <c r="P327">
        <v>36</v>
      </c>
      <c r="Q327" t="str">
        <f t="shared" si="29"/>
        <v>35 to 44 yrs</v>
      </c>
      <c r="R327" t="s">
        <v>17</v>
      </c>
    </row>
    <row r="328" spans="1:18">
      <c r="A328">
        <v>20994</v>
      </c>
      <c r="B328" t="s">
        <v>13</v>
      </c>
      <c r="C328" t="str">
        <f t="shared" si="25"/>
        <v>Married</v>
      </c>
      <c r="D328" t="s">
        <v>14</v>
      </c>
      <c r="E328" t="str">
        <f t="shared" si="26"/>
        <v>Female</v>
      </c>
      <c r="F328" s="3">
        <v>20000</v>
      </c>
      <c r="G328" s="3" t="str">
        <f t="shared" si="27"/>
        <v>Lower Class</v>
      </c>
      <c r="H328">
        <v>0</v>
      </c>
      <c r="I328" t="s">
        <v>15</v>
      </c>
      <c r="J328" t="s">
        <v>22</v>
      </c>
      <c r="K328" t="s">
        <v>20</v>
      </c>
      <c r="L328" t="str">
        <f t="shared" si="28"/>
        <v>Tenant</v>
      </c>
      <c r="M328">
        <v>0</v>
      </c>
      <c r="N328" t="s">
        <v>18</v>
      </c>
      <c r="O328" t="s">
        <v>27</v>
      </c>
      <c r="P328">
        <v>26</v>
      </c>
      <c r="Q328" t="str">
        <f t="shared" si="29"/>
        <v>25 to 34 yrs</v>
      </c>
      <c r="R328" t="s">
        <v>17</v>
      </c>
    </row>
    <row r="329" spans="1:18">
      <c r="A329">
        <v>28379</v>
      </c>
      <c r="B329" t="s">
        <v>13</v>
      </c>
      <c r="C329" t="str">
        <f t="shared" si="25"/>
        <v>Married</v>
      </c>
      <c r="D329" t="s">
        <v>13</v>
      </c>
      <c r="E329" t="str">
        <f t="shared" si="26"/>
        <v>Male</v>
      </c>
      <c r="F329" s="3">
        <v>30000</v>
      </c>
      <c r="G329" s="3" t="str">
        <f t="shared" si="27"/>
        <v>Lower Class</v>
      </c>
      <c r="H329">
        <v>1</v>
      </c>
      <c r="I329" t="s">
        <v>15</v>
      </c>
      <c r="J329" t="s">
        <v>16</v>
      </c>
      <c r="K329" t="s">
        <v>17</v>
      </c>
      <c r="L329" t="str">
        <f t="shared" si="28"/>
        <v>Home Owner</v>
      </c>
      <c r="M329">
        <v>2</v>
      </c>
      <c r="N329" t="s">
        <v>18</v>
      </c>
      <c r="O329" t="s">
        <v>19</v>
      </c>
      <c r="P329">
        <v>40</v>
      </c>
      <c r="Q329" t="str">
        <f t="shared" si="29"/>
        <v>35 to 44 yrs</v>
      </c>
      <c r="R329" t="s">
        <v>20</v>
      </c>
    </row>
    <row r="330" spans="1:18">
      <c r="A330">
        <v>14865</v>
      </c>
      <c r="B330" t="s">
        <v>25</v>
      </c>
      <c r="C330" t="str">
        <f t="shared" si="25"/>
        <v>Single</v>
      </c>
      <c r="D330" t="s">
        <v>13</v>
      </c>
      <c r="E330" t="str">
        <f t="shared" si="26"/>
        <v>Male</v>
      </c>
      <c r="F330" s="3">
        <v>40000</v>
      </c>
      <c r="G330" s="3" t="str">
        <f t="shared" si="27"/>
        <v>Lower Class</v>
      </c>
      <c r="H330">
        <v>2</v>
      </c>
      <c r="I330" t="s">
        <v>21</v>
      </c>
      <c r="J330" t="s">
        <v>22</v>
      </c>
      <c r="K330" t="s">
        <v>17</v>
      </c>
      <c r="L330" t="str">
        <f t="shared" si="28"/>
        <v>Home Owner</v>
      </c>
      <c r="M330">
        <v>2</v>
      </c>
      <c r="N330" t="s">
        <v>29</v>
      </c>
      <c r="O330" t="s">
        <v>19</v>
      </c>
      <c r="P330">
        <v>36</v>
      </c>
      <c r="Q330" t="str">
        <f t="shared" si="29"/>
        <v>35 to 44 yrs</v>
      </c>
      <c r="R330" t="s">
        <v>20</v>
      </c>
    </row>
    <row r="331" spans="1:18">
      <c r="A331">
        <v>12663</v>
      </c>
      <c r="B331" t="s">
        <v>13</v>
      </c>
      <c r="C331" t="str">
        <f t="shared" si="25"/>
        <v>Married</v>
      </c>
      <c r="D331" t="s">
        <v>14</v>
      </c>
      <c r="E331" t="str">
        <f t="shared" si="26"/>
        <v>Female</v>
      </c>
      <c r="F331" s="3">
        <v>90000</v>
      </c>
      <c r="G331" s="3" t="str">
        <f t="shared" si="27"/>
        <v>Middle Class</v>
      </c>
      <c r="H331">
        <v>5</v>
      </c>
      <c r="I331" t="s">
        <v>32</v>
      </c>
      <c r="J331" t="s">
        <v>16</v>
      </c>
      <c r="K331" t="s">
        <v>17</v>
      </c>
      <c r="L331" t="str">
        <f t="shared" si="28"/>
        <v>Home Owner</v>
      </c>
      <c r="M331">
        <v>2</v>
      </c>
      <c r="N331" t="s">
        <v>33</v>
      </c>
      <c r="O331" t="s">
        <v>19</v>
      </c>
      <c r="P331">
        <v>59</v>
      </c>
      <c r="Q331" t="str">
        <f t="shared" si="29"/>
        <v>55 to 64 yrs</v>
      </c>
      <c r="R331" t="s">
        <v>20</v>
      </c>
    </row>
    <row r="332" spans="1:18">
      <c r="A332">
        <v>24898</v>
      </c>
      <c r="B332" t="s">
        <v>25</v>
      </c>
      <c r="C332" t="str">
        <f t="shared" si="25"/>
        <v>Single</v>
      </c>
      <c r="D332" t="s">
        <v>14</v>
      </c>
      <c r="E332" t="str">
        <f t="shared" si="26"/>
        <v>Female</v>
      </c>
      <c r="F332" s="3">
        <v>80000</v>
      </c>
      <c r="G332" s="3" t="str">
        <f t="shared" si="27"/>
        <v>Middle Class</v>
      </c>
      <c r="H332">
        <v>0</v>
      </c>
      <c r="I332" t="s">
        <v>15</v>
      </c>
      <c r="J332" t="s">
        <v>23</v>
      </c>
      <c r="K332" t="s">
        <v>17</v>
      </c>
      <c r="L332" t="str">
        <f t="shared" si="28"/>
        <v>Home Owner</v>
      </c>
      <c r="M332">
        <v>3</v>
      </c>
      <c r="N332" t="s">
        <v>33</v>
      </c>
      <c r="O332" t="s">
        <v>27</v>
      </c>
      <c r="P332">
        <v>32</v>
      </c>
      <c r="Q332" t="str">
        <f t="shared" si="29"/>
        <v>25 to 34 yrs</v>
      </c>
      <c r="R332" t="s">
        <v>20</v>
      </c>
    </row>
    <row r="333" spans="1:18">
      <c r="A333">
        <v>19508</v>
      </c>
      <c r="B333" t="s">
        <v>13</v>
      </c>
      <c r="C333" t="str">
        <f t="shared" si="25"/>
        <v>Married</v>
      </c>
      <c r="D333" t="s">
        <v>13</v>
      </c>
      <c r="E333" t="str">
        <f t="shared" si="26"/>
        <v>Male</v>
      </c>
      <c r="F333" s="3">
        <v>10000</v>
      </c>
      <c r="G333" s="3" t="str">
        <f t="shared" si="27"/>
        <v>Lower Class</v>
      </c>
      <c r="H333">
        <v>0</v>
      </c>
      <c r="I333" t="s">
        <v>32</v>
      </c>
      <c r="J333" t="s">
        <v>28</v>
      </c>
      <c r="K333" t="s">
        <v>20</v>
      </c>
      <c r="L333" t="str">
        <f t="shared" si="28"/>
        <v>Tenant</v>
      </c>
      <c r="M333">
        <v>2</v>
      </c>
      <c r="N333" t="s">
        <v>18</v>
      </c>
      <c r="O333" t="s">
        <v>19</v>
      </c>
      <c r="P333">
        <v>30</v>
      </c>
      <c r="Q333" t="str">
        <f t="shared" si="29"/>
        <v>25 to 34 yrs</v>
      </c>
      <c r="R333" t="s">
        <v>20</v>
      </c>
    </row>
    <row r="334" spans="1:18">
      <c r="A334">
        <v>11489</v>
      </c>
      <c r="B334" t="s">
        <v>25</v>
      </c>
      <c r="C334" t="str">
        <f t="shared" si="25"/>
        <v>Single</v>
      </c>
      <c r="D334" t="s">
        <v>14</v>
      </c>
      <c r="E334" t="str">
        <f t="shared" si="26"/>
        <v>Female</v>
      </c>
      <c r="F334" s="3">
        <v>20000</v>
      </c>
      <c r="G334" s="3" t="str">
        <f t="shared" si="27"/>
        <v>Lower Class</v>
      </c>
      <c r="H334">
        <v>0</v>
      </c>
      <c r="I334" t="s">
        <v>32</v>
      </c>
      <c r="J334" t="s">
        <v>28</v>
      </c>
      <c r="K334" t="s">
        <v>20</v>
      </c>
      <c r="L334" t="str">
        <f t="shared" si="28"/>
        <v>Tenant</v>
      </c>
      <c r="M334">
        <v>2</v>
      </c>
      <c r="N334" t="s">
        <v>29</v>
      </c>
      <c r="O334" t="s">
        <v>19</v>
      </c>
      <c r="P334">
        <v>35</v>
      </c>
      <c r="Q334" t="str">
        <f t="shared" si="29"/>
        <v>35 to 44 yrs</v>
      </c>
      <c r="R334" t="s">
        <v>17</v>
      </c>
    </row>
    <row r="335" spans="1:18">
      <c r="A335">
        <v>18160</v>
      </c>
      <c r="B335" t="s">
        <v>13</v>
      </c>
      <c r="C335" t="str">
        <f t="shared" si="25"/>
        <v>Married</v>
      </c>
      <c r="D335" t="s">
        <v>13</v>
      </c>
      <c r="E335" t="str">
        <f t="shared" si="26"/>
        <v>Male</v>
      </c>
      <c r="F335" s="3">
        <v>130000</v>
      </c>
      <c r="G335" s="3" t="str">
        <f t="shared" si="27"/>
        <v>Upper Middle Class</v>
      </c>
      <c r="H335">
        <v>3</v>
      </c>
      <c r="I335" t="s">
        <v>30</v>
      </c>
      <c r="J335" t="s">
        <v>23</v>
      </c>
      <c r="K335" t="s">
        <v>17</v>
      </c>
      <c r="L335" t="str">
        <f t="shared" si="28"/>
        <v>Home Owner</v>
      </c>
      <c r="M335">
        <v>4</v>
      </c>
      <c r="N335" t="s">
        <v>26</v>
      </c>
      <c r="O335" t="s">
        <v>19</v>
      </c>
      <c r="P335">
        <v>51</v>
      </c>
      <c r="Q335" t="str">
        <f t="shared" si="29"/>
        <v>45 to 54 yrs</v>
      </c>
      <c r="R335" t="s">
        <v>17</v>
      </c>
    </row>
    <row r="336" spans="1:18">
      <c r="A336">
        <v>25241</v>
      </c>
      <c r="B336" t="s">
        <v>13</v>
      </c>
      <c r="C336" t="str">
        <f t="shared" si="25"/>
        <v>Married</v>
      </c>
      <c r="D336" t="s">
        <v>13</v>
      </c>
      <c r="E336" t="str">
        <f t="shared" si="26"/>
        <v>Male</v>
      </c>
      <c r="F336" s="3">
        <v>90000</v>
      </c>
      <c r="G336" s="3" t="str">
        <f t="shared" si="27"/>
        <v>Middle Class</v>
      </c>
      <c r="H336">
        <v>2</v>
      </c>
      <c r="I336" t="s">
        <v>15</v>
      </c>
      <c r="J336" t="s">
        <v>23</v>
      </c>
      <c r="K336" t="s">
        <v>17</v>
      </c>
      <c r="L336" t="str">
        <f t="shared" si="28"/>
        <v>Home Owner</v>
      </c>
      <c r="M336">
        <v>1</v>
      </c>
      <c r="N336" t="s">
        <v>26</v>
      </c>
      <c r="O336" t="s">
        <v>27</v>
      </c>
      <c r="P336">
        <v>47</v>
      </c>
      <c r="Q336" t="str">
        <f t="shared" si="29"/>
        <v>45 to 54 yrs</v>
      </c>
      <c r="R336" t="s">
        <v>20</v>
      </c>
    </row>
    <row r="337" spans="1:18">
      <c r="A337">
        <v>24369</v>
      </c>
      <c r="B337" t="s">
        <v>13</v>
      </c>
      <c r="C337" t="str">
        <f t="shared" si="25"/>
        <v>Married</v>
      </c>
      <c r="D337" t="s">
        <v>13</v>
      </c>
      <c r="E337" t="str">
        <f t="shared" si="26"/>
        <v>Male</v>
      </c>
      <c r="F337" s="3">
        <v>80000</v>
      </c>
      <c r="G337" s="3" t="str">
        <f t="shared" si="27"/>
        <v>Middle Class</v>
      </c>
      <c r="H337">
        <v>5</v>
      </c>
      <c r="I337" t="s">
        <v>34</v>
      </c>
      <c r="J337" t="s">
        <v>31</v>
      </c>
      <c r="K337" t="s">
        <v>20</v>
      </c>
      <c r="L337" t="str">
        <f t="shared" si="28"/>
        <v>Tenant</v>
      </c>
      <c r="M337">
        <v>2</v>
      </c>
      <c r="N337" t="s">
        <v>18</v>
      </c>
      <c r="O337" t="s">
        <v>27</v>
      </c>
      <c r="P337">
        <v>39</v>
      </c>
      <c r="Q337" t="str">
        <f t="shared" si="29"/>
        <v>35 to 44 yrs</v>
      </c>
      <c r="R337" t="s">
        <v>20</v>
      </c>
    </row>
    <row r="338" spans="1:18">
      <c r="A338">
        <v>27165</v>
      </c>
      <c r="B338" t="s">
        <v>25</v>
      </c>
      <c r="C338" t="str">
        <f t="shared" si="25"/>
        <v>Single</v>
      </c>
      <c r="D338" t="s">
        <v>13</v>
      </c>
      <c r="E338" t="str">
        <f t="shared" si="26"/>
        <v>Male</v>
      </c>
      <c r="F338" s="3">
        <v>20000</v>
      </c>
      <c r="G338" s="3" t="str">
        <f t="shared" si="27"/>
        <v>Lower Class</v>
      </c>
      <c r="H338">
        <v>0</v>
      </c>
      <c r="I338" t="s">
        <v>32</v>
      </c>
      <c r="J338" t="s">
        <v>28</v>
      </c>
      <c r="K338" t="s">
        <v>20</v>
      </c>
      <c r="L338" t="str">
        <f t="shared" si="28"/>
        <v>Tenant</v>
      </c>
      <c r="M338">
        <v>2</v>
      </c>
      <c r="N338" t="s">
        <v>18</v>
      </c>
      <c r="O338" t="s">
        <v>19</v>
      </c>
      <c r="P338">
        <v>34</v>
      </c>
      <c r="Q338" t="str">
        <f t="shared" si="29"/>
        <v>25 to 34 yrs</v>
      </c>
      <c r="R338" t="s">
        <v>20</v>
      </c>
    </row>
    <row r="339" spans="1:18">
      <c r="A339">
        <v>29424</v>
      </c>
      <c r="B339" t="s">
        <v>13</v>
      </c>
      <c r="C339" t="str">
        <f t="shared" si="25"/>
        <v>Married</v>
      </c>
      <c r="D339" t="s">
        <v>13</v>
      </c>
      <c r="E339" t="str">
        <f t="shared" si="26"/>
        <v>Male</v>
      </c>
      <c r="F339" s="3">
        <v>10000</v>
      </c>
      <c r="G339" s="3" t="str">
        <f t="shared" si="27"/>
        <v>Lower Class</v>
      </c>
      <c r="H339">
        <v>0</v>
      </c>
      <c r="I339" t="s">
        <v>32</v>
      </c>
      <c r="J339" t="s">
        <v>28</v>
      </c>
      <c r="K339" t="s">
        <v>17</v>
      </c>
      <c r="L339" t="str">
        <f t="shared" si="28"/>
        <v>Home Owner</v>
      </c>
      <c r="M339">
        <v>2</v>
      </c>
      <c r="N339" t="s">
        <v>18</v>
      </c>
      <c r="O339" t="s">
        <v>19</v>
      </c>
      <c r="P339">
        <v>32</v>
      </c>
      <c r="Q339" t="str">
        <f t="shared" si="29"/>
        <v>25 to 34 yrs</v>
      </c>
      <c r="R339" t="s">
        <v>20</v>
      </c>
    </row>
    <row r="340" spans="1:18">
      <c r="A340">
        <v>15926</v>
      </c>
      <c r="B340" t="s">
        <v>25</v>
      </c>
      <c r="C340" t="str">
        <f t="shared" si="25"/>
        <v>Single</v>
      </c>
      <c r="D340" t="s">
        <v>14</v>
      </c>
      <c r="E340" t="str">
        <f t="shared" si="26"/>
        <v>Female</v>
      </c>
      <c r="F340" s="3">
        <v>120000</v>
      </c>
      <c r="G340" s="3" t="str">
        <f t="shared" si="27"/>
        <v>Upper Middle Class</v>
      </c>
      <c r="H340">
        <v>3</v>
      </c>
      <c r="I340" t="s">
        <v>30</v>
      </c>
      <c r="J340" t="s">
        <v>23</v>
      </c>
      <c r="K340" t="s">
        <v>17</v>
      </c>
      <c r="L340" t="str">
        <f t="shared" si="28"/>
        <v>Home Owner</v>
      </c>
      <c r="M340">
        <v>4</v>
      </c>
      <c r="N340" t="s">
        <v>26</v>
      </c>
      <c r="O340" t="s">
        <v>19</v>
      </c>
      <c r="P340">
        <v>50</v>
      </c>
      <c r="Q340" t="str">
        <f t="shared" si="29"/>
        <v>45 to 54 yrs</v>
      </c>
      <c r="R340" t="s">
        <v>17</v>
      </c>
    </row>
    <row r="341" spans="1:18">
      <c r="A341">
        <v>14554</v>
      </c>
      <c r="B341" t="s">
        <v>13</v>
      </c>
      <c r="C341" t="str">
        <f t="shared" si="25"/>
        <v>Married</v>
      </c>
      <c r="D341" t="s">
        <v>13</v>
      </c>
      <c r="E341" t="str">
        <f t="shared" si="26"/>
        <v>Male</v>
      </c>
      <c r="F341" s="3">
        <v>20000</v>
      </c>
      <c r="G341" s="3" t="str">
        <f t="shared" si="27"/>
        <v>Lower Class</v>
      </c>
      <c r="H341">
        <v>1</v>
      </c>
      <c r="I341" t="s">
        <v>15</v>
      </c>
      <c r="J341" t="s">
        <v>22</v>
      </c>
      <c r="K341" t="s">
        <v>17</v>
      </c>
      <c r="L341" t="str">
        <f t="shared" si="28"/>
        <v>Home Owner</v>
      </c>
      <c r="M341">
        <v>0</v>
      </c>
      <c r="N341" t="s">
        <v>18</v>
      </c>
      <c r="O341" t="s">
        <v>19</v>
      </c>
      <c r="P341">
        <v>66</v>
      </c>
      <c r="Q341" t="str">
        <f t="shared" si="29"/>
        <v>65 yrs &amp; Above</v>
      </c>
      <c r="R341" t="s">
        <v>20</v>
      </c>
    </row>
    <row r="342" spans="1:18">
      <c r="A342">
        <v>16468</v>
      </c>
      <c r="B342" t="s">
        <v>25</v>
      </c>
      <c r="C342" t="str">
        <f t="shared" si="25"/>
        <v>Single</v>
      </c>
      <c r="D342" t="s">
        <v>13</v>
      </c>
      <c r="E342" t="str">
        <f t="shared" si="26"/>
        <v>Male</v>
      </c>
      <c r="F342" s="3">
        <v>30000</v>
      </c>
      <c r="G342" s="3" t="str">
        <f t="shared" si="27"/>
        <v>Lower Class</v>
      </c>
      <c r="H342">
        <v>0</v>
      </c>
      <c r="I342" t="s">
        <v>21</v>
      </c>
      <c r="J342" t="s">
        <v>22</v>
      </c>
      <c r="K342" t="s">
        <v>17</v>
      </c>
      <c r="L342" t="str">
        <f t="shared" si="28"/>
        <v>Home Owner</v>
      </c>
      <c r="M342">
        <v>1</v>
      </c>
      <c r="N342" t="s">
        <v>24</v>
      </c>
      <c r="O342" t="s">
        <v>19</v>
      </c>
      <c r="P342">
        <v>30</v>
      </c>
      <c r="Q342" t="str">
        <f t="shared" si="29"/>
        <v>25 to 34 yrs</v>
      </c>
      <c r="R342" t="s">
        <v>20</v>
      </c>
    </row>
    <row r="343" spans="1:18">
      <c r="A343">
        <v>19174</v>
      </c>
      <c r="B343" t="s">
        <v>25</v>
      </c>
      <c r="C343" t="str">
        <f t="shared" si="25"/>
        <v>Single</v>
      </c>
      <c r="D343" t="s">
        <v>14</v>
      </c>
      <c r="E343" t="str">
        <f t="shared" si="26"/>
        <v>Female</v>
      </c>
      <c r="F343" s="3">
        <v>30000</v>
      </c>
      <c r="G343" s="3" t="str">
        <f t="shared" si="27"/>
        <v>Lower Class</v>
      </c>
      <c r="H343">
        <v>0</v>
      </c>
      <c r="I343" t="s">
        <v>30</v>
      </c>
      <c r="J343" t="s">
        <v>28</v>
      </c>
      <c r="K343" t="s">
        <v>20</v>
      </c>
      <c r="L343" t="str">
        <f t="shared" si="28"/>
        <v>Tenant</v>
      </c>
      <c r="M343">
        <v>1</v>
      </c>
      <c r="N343" t="s">
        <v>24</v>
      </c>
      <c r="O343" t="s">
        <v>19</v>
      </c>
      <c r="P343">
        <v>32</v>
      </c>
      <c r="Q343" t="str">
        <f t="shared" si="29"/>
        <v>25 to 34 yrs</v>
      </c>
      <c r="R343" t="s">
        <v>17</v>
      </c>
    </row>
    <row r="344" spans="1:18">
      <c r="A344">
        <v>19183</v>
      </c>
      <c r="B344" t="s">
        <v>25</v>
      </c>
      <c r="C344" t="str">
        <f t="shared" si="25"/>
        <v>Single</v>
      </c>
      <c r="D344" t="s">
        <v>13</v>
      </c>
      <c r="E344" t="str">
        <f t="shared" si="26"/>
        <v>Male</v>
      </c>
      <c r="F344" s="3">
        <v>10000</v>
      </c>
      <c r="G344" s="3" t="str">
        <f t="shared" si="27"/>
        <v>Lower Class</v>
      </c>
      <c r="H344">
        <v>0</v>
      </c>
      <c r="I344" t="s">
        <v>32</v>
      </c>
      <c r="J344" t="s">
        <v>28</v>
      </c>
      <c r="K344" t="s">
        <v>17</v>
      </c>
      <c r="L344" t="str">
        <f t="shared" si="28"/>
        <v>Home Owner</v>
      </c>
      <c r="M344">
        <v>2</v>
      </c>
      <c r="N344" t="s">
        <v>29</v>
      </c>
      <c r="O344" t="s">
        <v>19</v>
      </c>
      <c r="P344">
        <v>35</v>
      </c>
      <c r="Q344" t="str">
        <f t="shared" si="29"/>
        <v>35 to 44 yrs</v>
      </c>
      <c r="R344" t="s">
        <v>20</v>
      </c>
    </row>
    <row r="345" spans="1:18">
      <c r="A345">
        <v>13683</v>
      </c>
      <c r="B345" t="s">
        <v>25</v>
      </c>
      <c r="C345" t="str">
        <f t="shared" si="25"/>
        <v>Single</v>
      </c>
      <c r="D345" t="s">
        <v>14</v>
      </c>
      <c r="E345" t="str">
        <f t="shared" si="26"/>
        <v>Female</v>
      </c>
      <c r="F345" s="3">
        <v>30000</v>
      </c>
      <c r="G345" s="3" t="str">
        <f t="shared" si="27"/>
        <v>Lower Class</v>
      </c>
      <c r="H345">
        <v>0</v>
      </c>
      <c r="I345" t="s">
        <v>30</v>
      </c>
      <c r="J345" t="s">
        <v>28</v>
      </c>
      <c r="K345" t="s">
        <v>20</v>
      </c>
      <c r="L345" t="str">
        <f t="shared" si="28"/>
        <v>Tenant</v>
      </c>
      <c r="M345">
        <v>1</v>
      </c>
      <c r="N345" t="s">
        <v>24</v>
      </c>
      <c r="O345" t="s">
        <v>19</v>
      </c>
      <c r="P345">
        <v>32</v>
      </c>
      <c r="Q345" t="str">
        <f t="shared" si="29"/>
        <v>25 to 34 yrs</v>
      </c>
      <c r="R345" t="s">
        <v>20</v>
      </c>
    </row>
    <row r="346" spans="1:18">
      <c r="A346">
        <v>17848</v>
      </c>
      <c r="B346" t="s">
        <v>25</v>
      </c>
      <c r="C346" t="str">
        <f t="shared" si="25"/>
        <v>Single</v>
      </c>
      <c r="D346" t="s">
        <v>13</v>
      </c>
      <c r="E346" t="str">
        <f t="shared" si="26"/>
        <v>Male</v>
      </c>
      <c r="F346" s="3">
        <v>30000</v>
      </c>
      <c r="G346" s="3" t="str">
        <f t="shared" si="27"/>
        <v>Lower Class</v>
      </c>
      <c r="H346">
        <v>0</v>
      </c>
      <c r="I346" t="s">
        <v>21</v>
      </c>
      <c r="J346" t="s">
        <v>22</v>
      </c>
      <c r="K346" t="s">
        <v>20</v>
      </c>
      <c r="L346" t="str">
        <f t="shared" si="28"/>
        <v>Tenant</v>
      </c>
      <c r="M346">
        <v>1</v>
      </c>
      <c r="N346" t="s">
        <v>24</v>
      </c>
      <c r="O346" t="s">
        <v>19</v>
      </c>
      <c r="P346">
        <v>31</v>
      </c>
      <c r="Q346" t="str">
        <f t="shared" si="29"/>
        <v>25 to 34 yrs</v>
      </c>
      <c r="R346" t="s">
        <v>17</v>
      </c>
    </row>
    <row r="347" spans="1:18">
      <c r="A347">
        <v>17894</v>
      </c>
      <c r="B347" t="s">
        <v>13</v>
      </c>
      <c r="C347" t="str">
        <f t="shared" si="25"/>
        <v>Married</v>
      </c>
      <c r="D347" t="s">
        <v>14</v>
      </c>
      <c r="E347" t="str">
        <f t="shared" si="26"/>
        <v>Female</v>
      </c>
      <c r="F347" s="3">
        <v>20000</v>
      </c>
      <c r="G347" s="3" t="str">
        <f t="shared" si="27"/>
        <v>Lower Class</v>
      </c>
      <c r="H347">
        <v>1</v>
      </c>
      <c r="I347" t="s">
        <v>15</v>
      </c>
      <c r="J347" t="s">
        <v>22</v>
      </c>
      <c r="K347" t="s">
        <v>17</v>
      </c>
      <c r="L347" t="str">
        <f t="shared" si="28"/>
        <v>Home Owner</v>
      </c>
      <c r="M347">
        <v>0</v>
      </c>
      <c r="N347" t="s">
        <v>18</v>
      </c>
      <c r="O347" t="s">
        <v>19</v>
      </c>
      <c r="P347">
        <v>50</v>
      </c>
      <c r="Q347" t="str">
        <f t="shared" si="29"/>
        <v>45 to 54 yrs</v>
      </c>
      <c r="R347" t="s">
        <v>17</v>
      </c>
    </row>
    <row r="348" spans="1:18">
      <c r="A348">
        <v>25651</v>
      </c>
      <c r="B348" t="s">
        <v>13</v>
      </c>
      <c r="C348" t="str">
        <f t="shared" si="25"/>
        <v>Married</v>
      </c>
      <c r="D348" t="s">
        <v>13</v>
      </c>
      <c r="E348" t="str">
        <f t="shared" si="26"/>
        <v>Male</v>
      </c>
      <c r="F348" s="3">
        <v>40000</v>
      </c>
      <c r="G348" s="3" t="str">
        <f t="shared" si="27"/>
        <v>Lower Class</v>
      </c>
      <c r="H348">
        <v>1</v>
      </c>
      <c r="I348" t="s">
        <v>15</v>
      </c>
      <c r="J348" t="s">
        <v>16</v>
      </c>
      <c r="K348" t="s">
        <v>20</v>
      </c>
      <c r="L348" t="str">
        <f t="shared" si="28"/>
        <v>Tenant</v>
      </c>
      <c r="M348">
        <v>0</v>
      </c>
      <c r="N348" t="s">
        <v>18</v>
      </c>
      <c r="O348" t="s">
        <v>19</v>
      </c>
      <c r="P348">
        <v>43</v>
      </c>
      <c r="Q348" t="str">
        <f t="shared" si="29"/>
        <v>35 to 44 yrs</v>
      </c>
      <c r="R348" t="s">
        <v>17</v>
      </c>
    </row>
    <row r="349" spans="1:18">
      <c r="A349">
        <v>22936</v>
      </c>
      <c r="B349" t="s">
        <v>25</v>
      </c>
      <c r="C349" t="str">
        <f t="shared" si="25"/>
        <v>Single</v>
      </c>
      <c r="D349" t="s">
        <v>14</v>
      </c>
      <c r="E349" t="str">
        <f t="shared" si="26"/>
        <v>Female</v>
      </c>
      <c r="F349" s="3">
        <v>60000</v>
      </c>
      <c r="G349" s="3" t="str">
        <f t="shared" si="27"/>
        <v>Middle Class</v>
      </c>
      <c r="H349">
        <v>1</v>
      </c>
      <c r="I349" t="s">
        <v>21</v>
      </c>
      <c r="J349" t="s">
        <v>16</v>
      </c>
      <c r="K349" t="s">
        <v>20</v>
      </c>
      <c r="L349" t="str">
        <f t="shared" si="28"/>
        <v>Tenant</v>
      </c>
      <c r="M349">
        <v>1</v>
      </c>
      <c r="N349" t="s">
        <v>18</v>
      </c>
      <c r="O349" t="s">
        <v>27</v>
      </c>
      <c r="P349">
        <v>45</v>
      </c>
      <c r="Q349" t="str">
        <f t="shared" si="29"/>
        <v>45 to 54 yrs</v>
      </c>
      <c r="R349" t="s">
        <v>17</v>
      </c>
    </row>
    <row r="350" spans="1:18">
      <c r="A350">
        <v>23915</v>
      </c>
      <c r="B350" t="s">
        <v>13</v>
      </c>
      <c r="C350" t="str">
        <f t="shared" si="25"/>
        <v>Married</v>
      </c>
      <c r="D350" t="s">
        <v>13</v>
      </c>
      <c r="E350" t="str">
        <f t="shared" si="26"/>
        <v>Male</v>
      </c>
      <c r="F350" s="3">
        <v>20000</v>
      </c>
      <c r="G350" s="3" t="str">
        <f t="shared" si="27"/>
        <v>Lower Class</v>
      </c>
      <c r="H350">
        <v>2</v>
      </c>
      <c r="I350" t="s">
        <v>30</v>
      </c>
      <c r="J350" t="s">
        <v>28</v>
      </c>
      <c r="K350" t="s">
        <v>17</v>
      </c>
      <c r="L350" t="str">
        <f t="shared" si="28"/>
        <v>Home Owner</v>
      </c>
      <c r="M350">
        <v>2</v>
      </c>
      <c r="N350" t="s">
        <v>18</v>
      </c>
      <c r="O350" t="s">
        <v>19</v>
      </c>
      <c r="P350">
        <v>42</v>
      </c>
      <c r="Q350" t="str">
        <f t="shared" si="29"/>
        <v>35 to 44 yrs</v>
      </c>
      <c r="R350" t="s">
        <v>20</v>
      </c>
    </row>
    <row r="351" spans="1:18">
      <c r="A351">
        <v>24121</v>
      </c>
      <c r="B351" t="s">
        <v>25</v>
      </c>
      <c r="C351" t="str">
        <f t="shared" si="25"/>
        <v>Single</v>
      </c>
      <c r="D351" t="s">
        <v>14</v>
      </c>
      <c r="E351" t="str">
        <f t="shared" si="26"/>
        <v>Female</v>
      </c>
      <c r="F351" s="3">
        <v>30000</v>
      </c>
      <c r="G351" s="3" t="str">
        <f t="shared" si="27"/>
        <v>Lower Class</v>
      </c>
      <c r="H351">
        <v>0</v>
      </c>
      <c r="I351" t="s">
        <v>21</v>
      </c>
      <c r="J351" t="s">
        <v>22</v>
      </c>
      <c r="K351" t="s">
        <v>20</v>
      </c>
      <c r="L351" t="str">
        <f t="shared" si="28"/>
        <v>Tenant</v>
      </c>
      <c r="M351">
        <v>1</v>
      </c>
      <c r="N351" t="s">
        <v>18</v>
      </c>
      <c r="O351" t="s">
        <v>19</v>
      </c>
      <c r="P351">
        <v>29</v>
      </c>
      <c r="Q351" t="str">
        <f t="shared" si="29"/>
        <v>25 to 34 yrs</v>
      </c>
      <c r="R351" t="s">
        <v>17</v>
      </c>
    </row>
    <row r="352" spans="1:18">
      <c r="A352">
        <v>27878</v>
      </c>
      <c r="B352" t="s">
        <v>25</v>
      </c>
      <c r="C352" t="str">
        <f t="shared" si="25"/>
        <v>Single</v>
      </c>
      <c r="D352" t="s">
        <v>13</v>
      </c>
      <c r="E352" t="str">
        <f t="shared" si="26"/>
        <v>Male</v>
      </c>
      <c r="F352" s="3">
        <v>20000</v>
      </c>
      <c r="G352" s="3" t="str">
        <f t="shared" si="27"/>
        <v>Lower Class</v>
      </c>
      <c r="H352">
        <v>0</v>
      </c>
      <c r="I352" t="s">
        <v>21</v>
      </c>
      <c r="J352" t="s">
        <v>28</v>
      </c>
      <c r="K352" t="s">
        <v>20</v>
      </c>
      <c r="L352" t="str">
        <f t="shared" si="28"/>
        <v>Tenant</v>
      </c>
      <c r="M352">
        <v>0</v>
      </c>
      <c r="N352" t="s">
        <v>18</v>
      </c>
      <c r="O352" t="s">
        <v>27</v>
      </c>
      <c r="P352">
        <v>28</v>
      </c>
      <c r="Q352" t="str">
        <f t="shared" si="29"/>
        <v>25 to 34 yrs</v>
      </c>
      <c r="R352" t="s">
        <v>17</v>
      </c>
    </row>
    <row r="353" spans="1:18">
      <c r="A353">
        <v>13572</v>
      </c>
      <c r="B353" t="s">
        <v>25</v>
      </c>
      <c r="C353" t="str">
        <f t="shared" si="25"/>
        <v>Single</v>
      </c>
      <c r="D353" t="s">
        <v>13</v>
      </c>
      <c r="E353" t="str">
        <f t="shared" si="26"/>
        <v>Male</v>
      </c>
      <c r="F353" s="3">
        <v>10000</v>
      </c>
      <c r="G353" s="3" t="str">
        <f t="shared" si="27"/>
        <v>Lower Class</v>
      </c>
      <c r="H353">
        <v>3</v>
      </c>
      <c r="I353" t="s">
        <v>30</v>
      </c>
      <c r="J353" t="s">
        <v>28</v>
      </c>
      <c r="K353" t="s">
        <v>17</v>
      </c>
      <c r="L353" t="str">
        <f t="shared" si="28"/>
        <v>Home Owner</v>
      </c>
      <c r="M353">
        <v>0</v>
      </c>
      <c r="N353" t="s">
        <v>18</v>
      </c>
      <c r="O353" t="s">
        <v>19</v>
      </c>
      <c r="P353">
        <v>37</v>
      </c>
      <c r="Q353" t="str">
        <f t="shared" si="29"/>
        <v>35 to 44 yrs</v>
      </c>
      <c r="R353" t="s">
        <v>17</v>
      </c>
    </row>
    <row r="354" spans="1:18">
      <c r="A354">
        <v>27941</v>
      </c>
      <c r="B354" t="s">
        <v>13</v>
      </c>
      <c r="C354" t="str">
        <f t="shared" si="25"/>
        <v>Married</v>
      </c>
      <c r="D354" t="s">
        <v>14</v>
      </c>
      <c r="E354" t="str">
        <f t="shared" si="26"/>
        <v>Female</v>
      </c>
      <c r="F354" s="3">
        <v>80000</v>
      </c>
      <c r="G354" s="3" t="str">
        <f t="shared" si="27"/>
        <v>Middle Class</v>
      </c>
      <c r="H354">
        <v>4</v>
      </c>
      <c r="I354" t="s">
        <v>21</v>
      </c>
      <c r="J354" t="s">
        <v>23</v>
      </c>
      <c r="K354" t="s">
        <v>17</v>
      </c>
      <c r="L354" t="str">
        <f t="shared" si="28"/>
        <v>Home Owner</v>
      </c>
      <c r="M354">
        <v>2</v>
      </c>
      <c r="N354" t="s">
        <v>24</v>
      </c>
      <c r="O354" t="s">
        <v>19</v>
      </c>
      <c r="P354">
        <v>53</v>
      </c>
      <c r="Q354" t="str">
        <f t="shared" si="29"/>
        <v>45 to 54 yrs</v>
      </c>
      <c r="R354" t="s">
        <v>20</v>
      </c>
    </row>
    <row r="355" spans="1:18">
      <c r="A355">
        <v>26354</v>
      </c>
      <c r="B355" t="s">
        <v>25</v>
      </c>
      <c r="C355" t="str">
        <f t="shared" si="25"/>
        <v>Single</v>
      </c>
      <c r="D355" t="s">
        <v>13</v>
      </c>
      <c r="E355" t="str">
        <f t="shared" si="26"/>
        <v>Male</v>
      </c>
      <c r="F355" s="3">
        <v>40000</v>
      </c>
      <c r="G355" s="3" t="str">
        <f t="shared" si="27"/>
        <v>Lower Class</v>
      </c>
      <c r="H355">
        <v>0</v>
      </c>
      <c r="I355" t="s">
        <v>34</v>
      </c>
      <c r="J355" t="s">
        <v>22</v>
      </c>
      <c r="K355" t="s">
        <v>20</v>
      </c>
      <c r="L355" t="str">
        <f t="shared" si="28"/>
        <v>Tenant</v>
      </c>
      <c r="M355">
        <v>0</v>
      </c>
      <c r="N355" t="s">
        <v>18</v>
      </c>
      <c r="O355" t="s">
        <v>19</v>
      </c>
      <c r="P355">
        <v>38</v>
      </c>
      <c r="Q355" t="str">
        <f t="shared" si="29"/>
        <v>35 to 44 yrs</v>
      </c>
      <c r="R355" t="s">
        <v>17</v>
      </c>
    </row>
    <row r="356" spans="1:18">
      <c r="A356">
        <v>14785</v>
      </c>
      <c r="B356" t="s">
        <v>25</v>
      </c>
      <c r="C356" t="str">
        <f t="shared" si="25"/>
        <v>Single</v>
      </c>
      <c r="D356" t="s">
        <v>13</v>
      </c>
      <c r="E356" t="str">
        <f t="shared" si="26"/>
        <v>Male</v>
      </c>
      <c r="F356" s="3">
        <v>30000</v>
      </c>
      <c r="G356" s="3" t="str">
        <f t="shared" si="27"/>
        <v>Lower Class</v>
      </c>
      <c r="H356">
        <v>1</v>
      </c>
      <c r="I356" t="s">
        <v>15</v>
      </c>
      <c r="J356" t="s">
        <v>22</v>
      </c>
      <c r="K356" t="s">
        <v>20</v>
      </c>
      <c r="L356" t="str">
        <f t="shared" si="28"/>
        <v>Tenant</v>
      </c>
      <c r="M356">
        <v>1</v>
      </c>
      <c r="N356" t="s">
        <v>29</v>
      </c>
      <c r="O356" t="s">
        <v>19</v>
      </c>
      <c r="P356">
        <v>39</v>
      </c>
      <c r="Q356" t="str">
        <f t="shared" si="29"/>
        <v>35 to 44 yrs</v>
      </c>
      <c r="R356" t="s">
        <v>20</v>
      </c>
    </row>
    <row r="357" spans="1:18">
      <c r="A357">
        <v>17238</v>
      </c>
      <c r="B357" t="s">
        <v>25</v>
      </c>
      <c r="C357" t="str">
        <f t="shared" si="25"/>
        <v>Single</v>
      </c>
      <c r="D357" t="s">
        <v>13</v>
      </c>
      <c r="E357" t="str">
        <f t="shared" si="26"/>
        <v>Male</v>
      </c>
      <c r="F357" s="3">
        <v>80000</v>
      </c>
      <c r="G357" s="3" t="str">
        <f t="shared" si="27"/>
        <v>Middle Class</v>
      </c>
      <c r="H357">
        <v>0</v>
      </c>
      <c r="I357" t="s">
        <v>15</v>
      </c>
      <c r="J357" t="s">
        <v>23</v>
      </c>
      <c r="K357" t="s">
        <v>17</v>
      </c>
      <c r="L357" t="str">
        <f t="shared" si="28"/>
        <v>Home Owner</v>
      </c>
      <c r="M357">
        <v>3</v>
      </c>
      <c r="N357" t="s">
        <v>33</v>
      </c>
      <c r="O357" t="s">
        <v>27</v>
      </c>
      <c r="P357">
        <v>32</v>
      </c>
      <c r="Q357" t="str">
        <f t="shared" si="29"/>
        <v>25 to 34 yrs</v>
      </c>
      <c r="R357" t="s">
        <v>20</v>
      </c>
    </row>
    <row r="358" spans="1:18">
      <c r="A358">
        <v>23608</v>
      </c>
      <c r="B358" t="s">
        <v>13</v>
      </c>
      <c r="C358" t="str">
        <f t="shared" si="25"/>
        <v>Married</v>
      </c>
      <c r="D358" t="s">
        <v>14</v>
      </c>
      <c r="E358" t="str">
        <f t="shared" si="26"/>
        <v>Female</v>
      </c>
      <c r="F358" s="3">
        <v>150000</v>
      </c>
      <c r="G358" s="3" t="str">
        <f t="shared" si="27"/>
        <v>Upper Middle Class</v>
      </c>
      <c r="H358">
        <v>3</v>
      </c>
      <c r="I358" t="s">
        <v>30</v>
      </c>
      <c r="J358" t="s">
        <v>23</v>
      </c>
      <c r="K358" t="s">
        <v>17</v>
      </c>
      <c r="L358" t="str">
        <f t="shared" si="28"/>
        <v>Home Owner</v>
      </c>
      <c r="M358">
        <v>3</v>
      </c>
      <c r="N358" t="s">
        <v>18</v>
      </c>
      <c r="O358" t="s">
        <v>19</v>
      </c>
      <c r="P358">
        <v>51</v>
      </c>
      <c r="Q358" t="str">
        <f t="shared" si="29"/>
        <v>45 to 54 yrs</v>
      </c>
      <c r="R358" t="s">
        <v>17</v>
      </c>
    </row>
    <row r="359" spans="1:18">
      <c r="A359">
        <v>22538</v>
      </c>
      <c r="B359" t="s">
        <v>25</v>
      </c>
      <c r="C359" t="str">
        <f t="shared" si="25"/>
        <v>Single</v>
      </c>
      <c r="D359" t="s">
        <v>14</v>
      </c>
      <c r="E359" t="str">
        <f t="shared" si="26"/>
        <v>Female</v>
      </c>
      <c r="F359" s="3">
        <v>10000</v>
      </c>
      <c r="G359" s="3" t="str">
        <f t="shared" si="27"/>
        <v>Lower Class</v>
      </c>
      <c r="H359">
        <v>0</v>
      </c>
      <c r="I359" t="s">
        <v>32</v>
      </c>
      <c r="J359" t="s">
        <v>28</v>
      </c>
      <c r="K359" t="s">
        <v>17</v>
      </c>
      <c r="L359" t="str">
        <f t="shared" si="28"/>
        <v>Home Owner</v>
      </c>
      <c r="M359">
        <v>2</v>
      </c>
      <c r="N359" t="s">
        <v>29</v>
      </c>
      <c r="O359" t="s">
        <v>19</v>
      </c>
      <c r="P359">
        <v>33</v>
      </c>
      <c r="Q359" t="str">
        <f t="shared" si="29"/>
        <v>25 to 34 yrs</v>
      </c>
      <c r="R359" t="s">
        <v>20</v>
      </c>
    </row>
    <row r="360" spans="1:18">
      <c r="A360">
        <v>12332</v>
      </c>
      <c r="B360" t="s">
        <v>13</v>
      </c>
      <c r="C360" t="str">
        <f t="shared" si="25"/>
        <v>Married</v>
      </c>
      <c r="D360" t="s">
        <v>13</v>
      </c>
      <c r="E360" t="str">
        <f t="shared" si="26"/>
        <v>Male</v>
      </c>
      <c r="F360" s="3">
        <v>90000</v>
      </c>
      <c r="G360" s="3" t="str">
        <f t="shared" si="27"/>
        <v>Middle Class</v>
      </c>
      <c r="H360">
        <v>4</v>
      </c>
      <c r="I360" t="s">
        <v>30</v>
      </c>
      <c r="J360" t="s">
        <v>31</v>
      </c>
      <c r="K360" t="s">
        <v>17</v>
      </c>
      <c r="L360" t="str">
        <f t="shared" si="28"/>
        <v>Home Owner</v>
      </c>
      <c r="M360">
        <v>3</v>
      </c>
      <c r="N360" t="s">
        <v>26</v>
      </c>
      <c r="O360" t="s">
        <v>19</v>
      </c>
      <c r="P360">
        <v>58</v>
      </c>
      <c r="Q360" t="str">
        <f t="shared" si="29"/>
        <v>55 to 64 yrs</v>
      </c>
      <c r="R360" t="s">
        <v>17</v>
      </c>
    </row>
    <row r="361" spans="1:18">
      <c r="A361">
        <v>17230</v>
      </c>
      <c r="B361" t="s">
        <v>13</v>
      </c>
      <c r="C361" t="str">
        <f t="shared" si="25"/>
        <v>Married</v>
      </c>
      <c r="D361" t="s">
        <v>13</v>
      </c>
      <c r="E361" t="str">
        <f t="shared" si="26"/>
        <v>Male</v>
      </c>
      <c r="F361" s="3">
        <v>80000</v>
      </c>
      <c r="G361" s="3" t="str">
        <f t="shared" si="27"/>
        <v>Middle Class</v>
      </c>
      <c r="H361">
        <v>0</v>
      </c>
      <c r="I361" t="s">
        <v>15</v>
      </c>
      <c r="J361" t="s">
        <v>23</v>
      </c>
      <c r="K361" t="s">
        <v>17</v>
      </c>
      <c r="L361" t="str">
        <f t="shared" si="28"/>
        <v>Home Owner</v>
      </c>
      <c r="M361">
        <v>3</v>
      </c>
      <c r="N361" t="s">
        <v>33</v>
      </c>
      <c r="O361" t="s">
        <v>27</v>
      </c>
      <c r="P361">
        <v>30</v>
      </c>
      <c r="Q361" t="str">
        <f t="shared" si="29"/>
        <v>25 to 34 yrs</v>
      </c>
      <c r="R361" t="s">
        <v>20</v>
      </c>
    </row>
    <row r="362" spans="1:18">
      <c r="A362">
        <v>13082</v>
      </c>
      <c r="B362" t="s">
        <v>25</v>
      </c>
      <c r="C362" t="str">
        <f t="shared" si="25"/>
        <v>Single</v>
      </c>
      <c r="D362" t="s">
        <v>13</v>
      </c>
      <c r="E362" t="str">
        <f t="shared" si="26"/>
        <v>Male</v>
      </c>
      <c r="F362" s="3">
        <v>130000</v>
      </c>
      <c r="G362" s="3" t="str">
        <f t="shared" si="27"/>
        <v>Upper Middle Class</v>
      </c>
      <c r="H362">
        <v>0</v>
      </c>
      <c r="I362" t="s">
        <v>34</v>
      </c>
      <c r="J362" t="s">
        <v>31</v>
      </c>
      <c r="K362" t="s">
        <v>17</v>
      </c>
      <c r="L362" t="str">
        <f t="shared" si="28"/>
        <v>Home Owner</v>
      </c>
      <c r="M362">
        <v>0</v>
      </c>
      <c r="N362" t="s">
        <v>24</v>
      </c>
      <c r="O362" t="s">
        <v>27</v>
      </c>
      <c r="P362">
        <v>48</v>
      </c>
      <c r="Q362" t="str">
        <f t="shared" si="29"/>
        <v>45 to 54 yrs</v>
      </c>
      <c r="R362" t="s">
        <v>17</v>
      </c>
    </row>
    <row r="363" spans="1:18">
      <c r="A363">
        <v>22518</v>
      </c>
      <c r="B363" t="s">
        <v>25</v>
      </c>
      <c r="C363" t="str">
        <f t="shared" si="25"/>
        <v>Single</v>
      </c>
      <c r="D363" t="s">
        <v>14</v>
      </c>
      <c r="E363" t="str">
        <f t="shared" si="26"/>
        <v>Female</v>
      </c>
      <c r="F363" s="3">
        <v>30000</v>
      </c>
      <c r="G363" s="3" t="str">
        <f t="shared" si="27"/>
        <v>Lower Class</v>
      </c>
      <c r="H363">
        <v>3</v>
      </c>
      <c r="I363" t="s">
        <v>21</v>
      </c>
      <c r="J363" t="s">
        <v>22</v>
      </c>
      <c r="K363" t="s">
        <v>20</v>
      </c>
      <c r="L363" t="str">
        <f t="shared" si="28"/>
        <v>Tenant</v>
      </c>
      <c r="M363">
        <v>2</v>
      </c>
      <c r="N363" t="s">
        <v>18</v>
      </c>
      <c r="O363" t="s">
        <v>19</v>
      </c>
      <c r="P363">
        <v>27</v>
      </c>
      <c r="Q363" t="str">
        <f t="shared" si="29"/>
        <v>25 to 34 yrs</v>
      </c>
      <c r="R363" t="s">
        <v>17</v>
      </c>
    </row>
    <row r="364" spans="1:18">
      <c r="A364">
        <v>13687</v>
      </c>
      <c r="B364" t="s">
        <v>13</v>
      </c>
      <c r="C364" t="str">
        <f t="shared" si="25"/>
        <v>Married</v>
      </c>
      <c r="D364" t="s">
        <v>13</v>
      </c>
      <c r="E364" t="str">
        <f t="shared" si="26"/>
        <v>Male</v>
      </c>
      <c r="F364" s="3">
        <v>40000</v>
      </c>
      <c r="G364" s="3" t="str">
        <f t="shared" si="27"/>
        <v>Lower Class</v>
      </c>
      <c r="H364">
        <v>1</v>
      </c>
      <c r="I364" t="s">
        <v>15</v>
      </c>
      <c r="J364" t="s">
        <v>16</v>
      </c>
      <c r="K364" t="s">
        <v>17</v>
      </c>
      <c r="L364" t="str">
        <f t="shared" si="28"/>
        <v>Home Owner</v>
      </c>
      <c r="M364">
        <v>1</v>
      </c>
      <c r="N364" t="s">
        <v>18</v>
      </c>
      <c r="O364" t="s">
        <v>19</v>
      </c>
      <c r="P364">
        <v>33</v>
      </c>
      <c r="Q364" t="str">
        <f t="shared" si="29"/>
        <v>25 to 34 yrs</v>
      </c>
      <c r="R364" t="s">
        <v>17</v>
      </c>
    </row>
    <row r="365" spans="1:18">
      <c r="A365">
        <v>23571</v>
      </c>
      <c r="B365" t="s">
        <v>13</v>
      </c>
      <c r="C365" t="str">
        <f t="shared" si="25"/>
        <v>Married</v>
      </c>
      <c r="D365" t="s">
        <v>14</v>
      </c>
      <c r="E365" t="str">
        <f t="shared" si="26"/>
        <v>Female</v>
      </c>
      <c r="F365" s="3">
        <v>40000</v>
      </c>
      <c r="G365" s="3" t="str">
        <f t="shared" si="27"/>
        <v>Lower Class</v>
      </c>
      <c r="H365">
        <v>2</v>
      </c>
      <c r="I365" t="s">
        <v>15</v>
      </c>
      <c r="J365" t="s">
        <v>31</v>
      </c>
      <c r="K365" t="s">
        <v>17</v>
      </c>
      <c r="L365" t="str">
        <f t="shared" si="28"/>
        <v>Home Owner</v>
      </c>
      <c r="M365">
        <v>2</v>
      </c>
      <c r="N365" t="s">
        <v>18</v>
      </c>
      <c r="O365" t="s">
        <v>27</v>
      </c>
      <c r="P365">
        <v>66</v>
      </c>
      <c r="Q365" t="str">
        <f t="shared" si="29"/>
        <v>65 yrs &amp; Above</v>
      </c>
      <c r="R365" t="s">
        <v>17</v>
      </c>
    </row>
    <row r="366" spans="1:18">
      <c r="A366">
        <v>19305</v>
      </c>
      <c r="B366" t="s">
        <v>25</v>
      </c>
      <c r="C366" t="str">
        <f t="shared" si="25"/>
        <v>Single</v>
      </c>
      <c r="D366" t="s">
        <v>14</v>
      </c>
      <c r="E366" t="str">
        <f t="shared" si="26"/>
        <v>Female</v>
      </c>
      <c r="F366" s="3">
        <v>10000</v>
      </c>
      <c r="G366" s="3" t="str">
        <f t="shared" si="27"/>
        <v>Lower Class</v>
      </c>
      <c r="H366">
        <v>2</v>
      </c>
      <c r="I366" t="s">
        <v>30</v>
      </c>
      <c r="J366" t="s">
        <v>28</v>
      </c>
      <c r="K366" t="s">
        <v>17</v>
      </c>
      <c r="L366" t="str">
        <f t="shared" si="28"/>
        <v>Home Owner</v>
      </c>
      <c r="M366">
        <v>1</v>
      </c>
      <c r="N366" t="s">
        <v>18</v>
      </c>
      <c r="O366" t="s">
        <v>19</v>
      </c>
      <c r="P366">
        <v>38</v>
      </c>
      <c r="Q366" t="str">
        <f t="shared" si="29"/>
        <v>35 to 44 yrs</v>
      </c>
      <c r="R366" t="s">
        <v>17</v>
      </c>
    </row>
    <row r="367" spans="1:18">
      <c r="A367">
        <v>22636</v>
      </c>
      <c r="B367" t="s">
        <v>25</v>
      </c>
      <c r="C367" t="str">
        <f t="shared" si="25"/>
        <v>Single</v>
      </c>
      <c r="D367" t="s">
        <v>14</v>
      </c>
      <c r="E367" t="str">
        <f t="shared" si="26"/>
        <v>Female</v>
      </c>
      <c r="F367" s="3">
        <v>40000</v>
      </c>
      <c r="G367" s="3" t="str">
        <f t="shared" si="27"/>
        <v>Lower Class</v>
      </c>
      <c r="H367">
        <v>0</v>
      </c>
      <c r="I367" t="s">
        <v>15</v>
      </c>
      <c r="J367" t="s">
        <v>22</v>
      </c>
      <c r="K367" t="s">
        <v>20</v>
      </c>
      <c r="L367" t="str">
        <f t="shared" si="28"/>
        <v>Tenant</v>
      </c>
      <c r="M367">
        <v>0</v>
      </c>
      <c r="N367" t="s">
        <v>18</v>
      </c>
      <c r="O367" t="s">
        <v>19</v>
      </c>
      <c r="P367">
        <v>38</v>
      </c>
      <c r="Q367" t="str">
        <f t="shared" si="29"/>
        <v>35 to 44 yrs</v>
      </c>
      <c r="R367" t="s">
        <v>17</v>
      </c>
    </row>
    <row r="368" spans="1:18">
      <c r="A368">
        <v>17310</v>
      </c>
      <c r="B368" t="s">
        <v>13</v>
      </c>
      <c r="C368" t="str">
        <f t="shared" si="25"/>
        <v>Married</v>
      </c>
      <c r="D368" t="s">
        <v>13</v>
      </c>
      <c r="E368" t="str">
        <f t="shared" si="26"/>
        <v>Male</v>
      </c>
      <c r="F368" s="3">
        <v>60000</v>
      </c>
      <c r="G368" s="3" t="str">
        <f t="shared" si="27"/>
        <v>Middle Class</v>
      </c>
      <c r="H368">
        <v>1</v>
      </c>
      <c r="I368" t="s">
        <v>21</v>
      </c>
      <c r="J368" t="s">
        <v>16</v>
      </c>
      <c r="K368" t="s">
        <v>17</v>
      </c>
      <c r="L368" t="str">
        <f t="shared" si="28"/>
        <v>Home Owner</v>
      </c>
      <c r="M368">
        <v>1</v>
      </c>
      <c r="N368" t="s">
        <v>18</v>
      </c>
      <c r="O368" t="s">
        <v>27</v>
      </c>
      <c r="P368">
        <v>45</v>
      </c>
      <c r="Q368" t="str">
        <f t="shared" si="29"/>
        <v>45 to 54 yrs</v>
      </c>
      <c r="R368" t="s">
        <v>17</v>
      </c>
    </row>
    <row r="369" spans="1:18">
      <c r="A369">
        <v>12133</v>
      </c>
      <c r="B369" t="s">
        <v>13</v>
      </c>
      <c r="C369" t="str">
        <f t="shared" si="25"/>
        <v>Married</v>
      </c>
      <c r="D369" t="s">
        <v>14</v>
      </c>
      <c r="E369" t="str">
        <f t="shared" si="26"/>
        <v>Female</v>
      </c>
      <c r="F369" s="3">
        <v>130000</v>
      </c>
      <c r="G369" s="3" t="str">
        <f t="shared" si="27"/>
        <v>Upper Middle Class</v>
      </c>
      <c r="H369">
        <v>3</v>
      </c>
      <c r="I369" t="s">
        <v>21</v>
      </c>
      <c r="J369" t="s">
        <v>23</v>
      </c>
      <c r="K369" t="s">
        <v>17</v>
      </c>
      <c r="L369" t="str">
        <f t="shared" si="28"/>
        <v>Home Owner</v>
      </c>
      <c r="M369">
        <v>3</v>
      </c>
      <c r="N369" t="s">
        <v>26</v>
      </c>
      <c r="O369" t="s">
        <v>19</v>
      </c>
      <c r="P369">
        <v>50</v>
      </c>
      <c r="Q369" t="str">
        <f t="shared" si="29"/>
        <v>45 to 54 yrs</v>
      </c>
      <c r="R369" t="s">
        <v>17</v>
      </c>
    </row>
    <row r="370" spans="1:18">
      <c r="A370">
        <v>25918</v>
      </c>
      <c r="B370" t="s">
        <v>25</v>
      </c>
      <c r="C370" t="str">
        <f t="shared" si="25"/>
        <v>Single</v>
      </c>
      <c r="D370" t="s">
        <v>14</v>
      </c>
      <c r="E370" t="str">
        <f t="shared" si="26"/>
        <v>Female</v>
      </c>
      <c r="F370" s="3">
        <v>30000</v>
      </c>
      <c r="G370" s="3" t="str">
        <f t="shared" si="27"/>
        <v>Lower Class</v>
      </c>
      <c r="H370">
        <v>2</v>
      </c>
      <c r="I370" t="s">
        <v>21</v>
      </c>
      <c r="J370" t="s">
        <v>22</v>
      </c>
      <c r="K370" t="s">
        <v>20</v>
      </c>
      <c r="L370" t="str">
        <f t="shared" si="28"/>
        <v>Tenant</v>
      </c>
      <c r="M370">
        <v>2</v>
      </c>
      <c r="N370" t="s">
        <v>26</v>
      </c>
      <c r="O370" t="s">
        <v>27</v>
      </c>
      <c r="P370">
        <v>60</v>
      </c>
      <c r="Q370" t="str">
        <f t="shared" si="29"/>
        <v>55 to 64 yrs</v>
      </c>
      <c r="R370" t="s">
        <v>17</v>
      </c>
    </row>
    <row r="371" spans="1:18">
      <c r="A371">
        <v>25752</v>
      </c>
      <c r="B371" t="s">
        <v>25</v>
      </c>
      <c r="C371" t="str">
        <f t="shared" si="25"/>
        <v>Single</v>
      </c>
      <c r="D371" t="s">
        <v>14</v>
      </c>
      <c r="E371" t="str">
        <f t="shared" si="26"/>
        <v>Female</v>
      </c>
      <c r="F371" s="3">
        <v>20000</v>
      </c>
      <c r="G371" s="3" t="str">
        <f t="shared" si="27"/>
        <v>Lower Class</v>
      </c>
      <c r="H371">
        <v>2</v>
      </c>
      <c r="I371" t="s">
        <v>21</v>
      </c>
      <c r="J371" t="s">
        <v>28</v>
      </c>
      <c r="K371" t="s">
        <v>20</v>
      </c>
      <c r="L371" t="str">
        <f t="shared" si="28"/>
        <v>Tenant</v>
      </c>
      <c r="M371">
        <v>1</v>
      </c>
      <c r="N371" t="s">
        <v>18</v>
      </c>
      <c r="O371" t="s">
        <v>19</v>
      </c>
      <c r="P371">
        <v>53</v>
      </c>
      <c r="Q371" t="str">
        <f t="shared" si="29"/>
        <v>45 to 54 yrs</v>
      </c>
      <c r="R371" t="s">
        <v>17</v>
      </c>
    </row>
    <row r="372" spans="1:18">
      <c r="A372">
        <v>17324</v>
      </c>
      <c r="B372" t="s">
        <v>13</v>
      </c>
      <c r="C372" t="str">
        <f t="shared" si="25"/>
        <v>Married</v>
      </c>
      <c r="D372" t="s">
        <v>14</v>
      </c>
      <c r="E372" t="str">
        <f t="shared" si="26"/>
        <v>Female</v>
      </c>
      <c r="F372" s="3">
        <v>100000</v>
      </c>
      <c r="G372" s="3" t="str">
        <f t="shared" si="27"/>
        <v>Middle Class</v>
      </c>
      <c r="H372">
        <v>4</v>
      </c>
      <c r="I372" t="s">
        <v>15</v>
      </c>
      <c r="J372" t="s">
        <v>23</v>
      </c>
      <c r="K372" t="s">
        <v>17</v>
      </c>
      <c r="L372" t="str">
        <f t="shared" si="28"/>
        <v>Home Owner</v>
      </c>
      <c r="M372">
        <v>1</v>
      </c>
      <c r="N372" t="s">
        <v>33</v>
      </c>
      <c r="O372" t="s">
        <v>27</v>
      </c>
      <c r="P372">
        <v>46</v>
      </c>
      <c r="Q372" t="str">
        <f t="shared" si="29"/>
        <v>45 to 54 yrs</v>
      </c>
      <c r="R372" t="s">
        <v>20</v>
      </c>
    </row>
    <row r="373" spans="1:18">
      <c r="A373">
        <v>22918</v>
      </c>
      <c r="B373" t="s">
        <v>25</v>
      </c>
      <c r="C373" t="str">
        <f t="shared" si="25"/>
        <v>Single</v>
      </c>
      <c r="D373" t="s">
        <v>13</v>
      </c>
      <c r="E373" t="str">
        <f t="shared" si="26"/>
        <v>Male</v>
      </c>
      <c r="F373" s="3">
        <v>80000</v>
      </c>
      <c r="G373" s="3" t="str">
        <f t="shared" si="27"/>
        <v>Middle Class</v>
      </c>
      <c r="H373">
        <v>5</v>
      </c>
      <c r="I373" t="s">
        <v>34</v>
      </c>
      <c r="J373" t="s">
        <v>31</v>
      </c>
      <c r="K373" t="s">
        <v>17</v>
      </c>
      <c r="L373" t="str">
        <f t="shared" si="28"/>
        <v>Home Owner</v>
      </c>
      <c r="M373">
        <v>3</v>
      </c>
      <c r="N373" t="s">
        <v>18</v>
      </c>
      <c r="O373" t="s">
        <v>27</v>
      </c>
      <c r="P373">
        <v>50</v>
      </c>
      <c r="Q373" t="str">
        <f t="shared" si="29"/>
        <v>45 to 54 yrs</v>
      </c>
      <c r="R373" t="s">
        <v>20</v>
      </c>
    </row>
    <row r="374" spans="1:18">
      <c r="A374">
        <v>12510</v>
      </c>
      <c r="B374" t="s">
        <v>13</v>
      </c>
      <c r="C374" t="str">
        <f t="shared" si="25"/>
        <v>Married</v>
      </c>
      <c r="D374" t="s">
        <v>13</v>
      </c>
      <c r="E374" t="str">
        <f t="shared" si="26"/>
        <v>Male</v>
      </c>
      <c r="F374" s="3">
        <v>40000</v>
      </c>
      <c r="G374" s="3" t="str">
        <f t="shared" si="27"/>
        <v>Lower Class</v>
      </c>
      <c r="H374">
        <v>1</v>
      </c>
      <c r="I374" t="s">
        <v>15</v>
      </c>
      <c r="J374" t="s">
        <v>16</v>
      </c>
      <c r="K374" t="s">
        <v>17</v>
      </c>
      <c r="L374" t="str">
        <f t="shared" si="28"/>
        <v>Home Owner</v>
      </c>
      <c r="M374">
        <v>1</v>
      </c>
      <c r="N374" t="s">
        <v>18</v>
      </c>
      <c r="O374" t="s">
        <v>19</v>
      </c>
      <c r="P374">
        <v>43</v>
      </c>
      <c r="Q374" t="str">
        <f t="shared" si="29"/>
        <v>35 to 44 yrs</v>
      </c>
      <c r="R374" t="s">
        <v>17</v>
      </c>
    </row>
    <row r="375" spans="1:18">
      <c r="A375">
        <v>25512</v>
      </c>
      <c r="B375" t="s">
        <v>25</v>
      </c>
      <c r="C375" t="str">
        <f t="shared" si="25"/>
        <v>Single</v>
      </c>
      <c r="D375" t="s">
        <v>13</v>
      </c>
      <c r="E375" t="str">
        <f t="shared" si="26"/>
        <v>Male</v>
      </c>
      <c r="F375" s="3">
        <v>20000</v>
      </c>
      <c r="G375" s="3" t="str">
        <f t="shared" si="27"/>
        <v>Lower Class</v>
      </c>
      <c r="H375">
        <v>0</v>
      </c>
      <c r="I375" t="s">
        <v>30</v>
      </c>
      <c r="J375" t="s">
        <v>28</v>
      </c>
      <c r="K375" t="s">
        <v>20</v>
      </c>
      <c r="L375" t="str">
        <f t="shared" si="28"/>
        <v>Tenant</v>
      </c>
      <c r="M375">
        <v>1</v>
      </c>
      <c r="N375" t="s">
        <v>24</v>
      </c>
      <c r="O375" t="s">
        <v>19</v>
      </c>
      <c r="P375">
        <v>30</v>
      </c>
      <c r="Q375" t="str">
        <f t="shared" si="29"/>
        <v>25 to 34 yrs</v>
      </c>
      <c r="R375" t="s">
        <v>20</v>
      </c>
    </row>
    <row r="376" spans="1:18">
      <c r="A376">
        <v>16179</v>
      </c>
      <c r="B376" t="s">
        <v>25</v>
      </c>
      <c r="C376" t="str">
        <f t="shared" si="25"/>
        <v>Single</v>
      </c>
      <c r="D376" t="s">
        <v>14</v>
      </c>
      <c r="E376" t="str">
        <f t="shared" si="26"/>
        <v>Female</v>
      </c>
      <c r="F376" s="3">
        <v>80000</v>
      </c>
      <c r="G376" s="3" t="str">
        <f t="shared" si="27"/>
        <v>Middle Class</v>
      </c>
      <c r="H376">
        <v>5</v>
      </c>
      <c r="I376" t="s">
        <v>15</v>
      </c>
      <c r="J376" t="s">
        <v>23</v>
      </c>
      <c r="K376" t="s">
        <v>17</v>
      </c>
      <c r="L376" t="str">
        <f t="shared" si="28"/>
        <v>Home Owner</v>
      </c>
      <c r="M376">
        <v>4</v>
      </c>
      <c r="N376" t="s">
        <v>29</v>
      </c>
      <c r="O376" t="s">
        <v>27</v>
      </c>
      <c r="P376">
        <v>38</v>
      </c>
      <c r="Q376" t="str">
        <f t="shared" si="29"/>
        <v>35 to 44 yrs</v>
      </c>
      <c r="R376" t="s">
        <v>20</v>
      </c>
    </row>
    <row r="377" spans="1:18">
      <c r="A377">
        <v>15628</v>
      </c>
      <c r="B377" t="s">
        <v>13</v>
      </c>
      <c r="C377" t="str">
        <f t="shared" si="25"/>
        <v>Married</v>
      </c>
      <c r="D377" t="s">
        <v>14</v>
      </c>
      <c r="E377" t="str">
        <f t="shared" si="26"/>
        <v>Female</v>
      </c>
      <c r="F377" s="3">
        <v>40000</v>
      </c>
      <c r="G377" s="3" t="str">
        <f t="shared" si="27"/>
        <v>Lower Class</v>
      </c>
      <c r="H377">
        <v>1</v>
      </c>
      <c r="I377" t="s">
        <v>15</v>
      </c>
      <c r="J377" t="s">
        <v>16</v>
      </c>
      <c r="K377" t="s">
        <v>17</v>
      </c>
      <c r="L377" t="str">
        <f t="shared" si="28"/>
        <v>Home Owner</v>
      </c>
      <c r="M377">
        <v>1</v>
      </c>
      <c r="N377" t="s">
        <v>18</v>
      </c>
      <c r="O377" t="s">
        <v>19</v>
      </c>
      <c r="P377">
        <v>89</v>
      </c>
      <c r="Q377" t="str">
        <f t="shared" si="29"/>
        <v>65 yrs &amp; Above</v>
      </c>
      <c r="R377" t="s">
        <v>20</v>
      </c>
    </row>
    <row r="378" spans="1:18">
      <c r="A378">
        <v>20977</v>
      </c>
      <c r="B378" t="s">
        <v>13</v>
      </c>
      <c r="C378" t="str">
        <f t="shared" si="25"/>
        <v>Married</v>
      </c>
      <c r="D378" t="s">
        <v>13</v>
      </c>
      <c r="E378" t="str">
        <f t="shared" si="26"/>
        <v>Male</v>
      </c>
      <c r="F378" s="3">
        <v>20000</v>
      </c>
      <c r="G378" s="3" t="str">
        <f t="shared" si="27"/>
        <v>Lower Class</v>
      </c>
      <c r="H378">
        <v>1</v>
      </c>
      <c r="I378" t="s">
        <v>15</v>
      </c>
      <c r="J378" t="s">
        <v>22</v>
      </c>
      <c r="K378" t="s">
        <v>17</v>
      </c>
      <c r="L378" t="str">
        <f t="shared" si="28"/>
        <v>Home Owner</v>
      </c>
      <c r="M378">
        <v>0</v>
      </c>
      <c r="N378" t="s">
        <v>18</v>
      </c>
      <c r="O378" t="s">
        <v>19</v>
      </c>
      <c r="P378">
        <v>64</v>
      </c>
      <c r="Q378" t="str">
        <f t="shared" si="29"/>
        <v>55 to 64 yrs</v>
      </c>
      <c r="R378" t="s">
        <v>17</v>
      </c>
    </row>
    <row r="379" spans="1:18">
      <c r="A379">
        <v>18140</v>
      </c>
      <c r="B379" t="s">
        <v>13</v>
      </c>
      <c r="C379" t="str">
        <f t="shared" si="25"/>
        <v>Married</v>
      </c>
      <c r="D379" t="s">
        <v>13</v>
      </c>
      <c r="E379" t="str">
        <f t="shared" si="26"/>
        <v>Male</v>
      </c>
      <c r="F379" s="3">
        <v>130000</v>
      </c>
      <c r="G379" s="3" t="str">
        <f t="shared" si="27"/>
        <v>Upper Middle Class</v>
      </c>
      <c r="H379">
        <v>3</v>
      </c>
      <c r="I379" t="s">
        <v>21</v>
      </c>
      <c r="J379" t="s">
        <v>23</v>
      </c>
      <c r="K379" t="s">
        <v>20</v>
      </c>
      <c r="L379" t="str">
        <f t="shared" si="28"/>
        <v>Tenant</v>
      </c>
      <c r="M379">
        <v>3</v>
      </c>
      <c r="N379" t="s">
        <v>26</v>
      </c>
      <c r="O379" t="s">
        <v>19</v>
      </c>
      <c r="P379">
        <v>51</v>
      </c>
      <c r="Q379" t="str">
        <f t="shared" si="29"/>
        <v>45 to 54 yrs</v>
      </c>
      <c r="R379" t="s">
        <v>17</v>
      </c>
    </row>
    <row r="380" spans="1:18">
      <c r="A380">
        <v>20417</v>
      </c>
      <c r="B380" t="s">
        <v>13</v>
      </c>
      <c r="C380" t="str">
        <f t="shared" si="25"/>
        <v>Married</v>
      </c>
      <c r="D380" t="s">
        <v>13</v>
      </c>
      <c r="E380" t="str">
        <f t="shared" si="26"/>
        <v>Male</v>
      </c>
      <c r="F380" s="3">
        <v>30000</v>
      </c>
      <c r="G380" s="3" t="str">
        <f t="shared" si="27"/>
        <v>Lower Class</v>
      </c>
      <c r="H380">
        <v>3</v>
      </c>
      <c r="I380" t="s">
        <v>21</v>
      </c>
      <c r="J380" t="s">
        <v>22</v>
      </c>
      <c r="K380" t="s">
        <v>20</v>
      </c>
      <c r="L380" t="str">
        <f t="shared" si="28"/>
        <v>Tenant</v>
      </c>
      <c r="M380">
        <v>2</v>
      </c>
      <c r="N380" t="s">
        <v>26</v>
      </c>
      <c r="O380" t="s">
        <v>27</v>
      </c>
      <c r="P380">
        <v>56</v>
      </c>
      <c r="Q380" t="str">
        <f t="shared" si="29"/>
        <v>55 to 64 yrs</v>
      </c>
      <c r="R380" t="s">
        <v>20</v>
      </c>
    </row>
    <row r="381" spans="1:18">
      <c r="A381">
        <v>18267</v>
      </c>
      <c r="B381" t="s">
        <v>13</v>
      </c>
      <c r="C381" t="str">
        <f t="shared" si="25"/>
        <v>Married</v>
      </c>
      <c r="D381" t="s">
        <v>13</v>
      </c>
      <c r="E381" t="str">
        <f t="shared" si="26"/>
        <v>Male</v>
      </c>
      <c r="F381" s="3">
        <v>60000</v>
      </c>
      <c r="G381" s="3" t="str">
        <f t="shared" si="27"/>
        <v>Middle Class</v>
      </c>
      <c r="H381">
        <v>3</v>
      </c>
      <c r="I381" t="s">
        <v>15</v>
      </c>
      <c r="J381" t="s">
        <v>23</v>
      </c>
      <c r="K381" t="s">
        <v>17</v>
      </c>
      <c r="L381" t="str">
        <f t="shared" si="28"/>
        <v>Home Owner</v>
      </c>
      <c r="M381">
        <v>2</v>
      </c>
      <c r="N381" t="s">
        <v>26</v>
      </c>
      <c r="O381" t="s">
        <v>27</v>
      </c>
      <c r="P381">
        <v>43</v>
      </c>
      <c r="Q381" t="str">
        <f t="shared" si="29"/>
        <v>35 to 44 yrs</v>
      </c>
      <c r="R381" t="s">
        <v>20</v>
      </c>
    </row>
    <row r="382" spans="1:18">
      <c r="A382">
        <v>13620</v>
      </c>
      <c r="B382" t="s">
        <v>25</v>
      </c>
      <c r="C382" t="str">
        <f t="shared" si="25"/>
        <v>Single</v>
      </c>
      <c r="D382" t="s">
        <v>13</v>
      </c>
      <c r="E382" t="str">
        <f t="shared" si="26"/>
        <v>Male</v>
      </c>
      <c r="F382" s="3">
        <v>70000</v>
      </c>
      <c r="G382" s="3" t="str">
        <f t="shared" si="27"/>
        <v>Middle Class</v>
      </c>
      <c r="H382">
        <v>0</v>
      </c>
      <c r="I382" t="s">
        <v>15</v>
      </c>
      <c r="J382" t="s">
        <v>23</v>
      </c>
      <c r="K382" t="s">
        <v>20</v>
      </c>
      <c r="L382" t="str">
        <f t="shared" si="28"/>
        <v>Tenant</v>
      </c>
      <c r="M382">
        <v>3</v>
      </c>
      <c r="N382" t="s">
        <v>33</v>
      </c>
      <c r="O382" t="s">
        <v>27</v>
      </c>
      <c r="P382">
        <v>30</v>
      </c>
      <c r="Q382" t="str">
        <f t="shared" si="29"/>
        <v>25 to 34 yrs</v>
      </c>
      <c r="R382" t="s">
        <v>17</v>
      </c>
    </row>
    <row r="383" spans="1:18">
      <c r="A383">
        <v>22974</v>
      </c>
      <c r="B383" t="s">
        <v>13</v>
      </c>
      <c r="C383" t="str">
        <f t="shared" si="25"/>
        <v>Married</v>
      </c>
      <c r="D383" t="s">
        <v>14</v>
      </c>
      <c r="E383" t="str">
        <f t="shared" si="26"/>
        <v>Female</v>
      </c>
      <c r="F383" s="3">
        <v>30000</v>
      </c>
      <c r="G383" s="3" t="str">
        <f t="shared" si="27"/>
        <v>Lower Class</v>
      </c>
      <c r="H383">
        <v>2</v>
      </c>
      <c r="I383" t="s">
        <v>21</v>
      </c>
      <c r="J383" t="s">
        <v>22</v>
      </c>
      <c r="K383" t="s">
        <v>17</v>
      </c>
      <c r="L383" t="str">
        <f t="shared" si="28"/>
        <v>Home Owner</v>
      </c>
      <c r="M383">
        <v>2</v>
      </c>
      <c r="N383" t="s">
        <v>26</v>
      </c>
      <c r="O383" t="s">
        <v>27</v>
      </c>
      <c r="P383">
        <v>69</v>
      </c>
      <c r="Q383" t="str">
        <f t="shared" si="29"/>
        <v>65 yrs &amp; Above</v>
      </c>
      <c r="R383" t="s">
        <v>20</v>
      </c>
    </row>
    <row r="384" spans="1:18">
      <c r="A384">
        <v>13586</v>
      </c>
      <c r="B384" t="s">
        <v>13</v>
      </c>
      <c r="C384" t="str">
        <f t="shared" si="25"/>
        <v>Married</v>
      </c>
      <c r="D384" t="s">
        <v>13</v>
      </c>
      <c r="E384" t="str">
        <f t="shared" si="26"/>
        <v>Male</v>
      </c>
      <c r="F384" s="3">
        <v>80000</v>
      </c>
      <c r="G384" s="3" t="str">
        <f t="shared" si="27"/>
        <v>Middle Class</v>
      </c>
      <c r="H384">
        <v>4</v>
      </c>
      <c r="I384" t="s">
        <v>21</v>
      </c>
      <c r="J384" t="s">
        <v>23</v>
      </c>
      <c r="K384" t="s">
        <v>17</v>
      </c>
      <c r="L384" t="str">
        <f t="shared" si="28"/>
        <v>Home Owner</v>
      </c>
      <c r="M384">
        <v>2</v>
      </c>
      <c r="N384" t="s">
        <v>33</v>
      </c>
      <c r="O384" t="s">
        <v>19</v>
      </c>
      <c r="P384">
        <v>53</v>
      </c>
      <c r="Q384" t="str">
        <f t="shared" si="29"/>
        <v>45 to 54 yrs</v>
      </c>
      <c r="R384" t="s">
        <v>20</v>
      </c>
    </row>
    <row r="385" spans="1:18">
      <c r="A385">
        <v>17978</v>
      </c>
      <c r="B385" t="s">
        <v>13</v>
      </c>
      <c r="C385" t="str">
        <f t="shared" si="25"/>
        <v>Married</v>
      </c>
      <c r="D385" t="s">
        <v>13</v>
      </c>
      <c r="E385" t="str">
        <f t="shared" si="26"/>
        <v>Male</v>
      </c>
      <c r="F385" s="3">
        <v>40000</v>
      </c>
      <c r="G385" s="3" t="str">
        <f t="shared" si="27"/>
        <v>Lower Class</v>
      </c>
      <c r="H385">
        <v>0</v>
      </c>
      <c r="I385" t="s">
        <v>34</v>
      </c>
      <c r="J385" t="s">
        <v>22</v>
      </c>
      <c r="K385" t="s">
        <v>17</v>
      </c>
      <c r="L385" t="str">
        <f t="shared" si="28"/>
        <v>Home Owner</v>
      </c>
      <c r="M385">
        <v>0</v>
      </c>
      <c r="N385" t="s">
        <v>18</v>
      </c>
      <c r="O385" t="s">
        <v>19</v>
      </c>
      <c r="P385">
        <v>37</v>
      </c>
      <c r="Q385" t="str">
        <f t="shared" si="29"/>
        <v>35 to 44 yrs</v>
      </c>
      <c r="R385" t="s">
        <v>17</v>
      </c>
    </row>
    <row r="386" spans="1:18">
      <c r="A386">
        <v>12581</v>
      </c>
      <c r="B386" t="s">
        <v>25</v>
      </c>
      <c r="C386" t="str">
        <f t="shared" si="25"/>
        <v>Single</v>
      </c>
      <c r="D386" t="s">
        <v>14</v>
      </c>
      <c r="E386" t="str">
        <f t="shared" si="26"/>
        <v>Female</v>
      </c>
      <c r="F386" s="3">
        <v>10000</v>
      </c>
      <c r="G386" s="3" t="str">
        <f t="shared" si="27"/>
        <v>Lower Class</v>
      </c>
      <c r="H386">
        <v>0</v>
      </c>
      <c r="I386" t="s">
        <v>21</v>
      </c>
      <c r="J386" t="s">
        <v>28</v>
      </c>
      <c r="K386" t="s">
        <v>20</v>
      </c>
      <c r="L386" t="str">
        <f t="shared" si="28"/>
        <v>Tenant</v>
      </c>
      <c r="M386">
        <v>1</v>
      </c>
      <c r="N386" t="s">
        <v>18</v>
      </c>
      <c r="O386" t="s">
        <v>27</v>
      </c>
      <c r="P386">
        <v>28</v>
      </c>
      <c r="Q386" t="str">
        <f t="shared" si="29"/>
        <v>25 to 34 yrs</v>
      </c>
      <c r="R386" t="s">
        <v>17</v>
      </c>
    </row>
    <row r="387" spans="1:18">
      <c r="A387">
        <v>18018</v>
      </c>
      <c r="B387" t="s">
        <v>25</v>
      </c>
      <c r="C387" t="str">
        <f t="shared" ref="C387:C450" si="30">IF($B$2:$B$1001="M", "Married","Single")</f>
        <v>Single</v>
      </c>
      <c r="D387" t="s">
        <v>13</v>
      </c>
      <c r="E387" t="str">
        <f t="shared" ref="E387:E450" si="31">IF($D$2:$D$1001="F", "Female", "Male")</f>
        <v>Male</v>
      </c>
      <c r="F387" s="3">
        <v>30000</v>
      </c>
      <c r="G387" s="3" t="str">
        <f t="shared" ref="G387:G450" si="32">_xlfn.IFS(F387&lt;=57375,"Lower Class",F387&lt;=114750,"Middle Class",F387&lt;=253414,"Upper Middle Class",TRUE,"Upper Class")</f>
        <v>Lower Class</v>
      </c>
      <c r="H387">
        <v>3</v>
      </c>
      <c r="I387" t="s">
        <v>21</v>
      </c>
      <c r="J387" t="s">
        <v>22</v>
      </c>
      <c r="K387" t="s">
        <v>17</v>
      </c>
      <c r="L387" t="str">
        <f t="shared" ref="L387:L450" si="33">IF($K$2:$K$1001="Yes", "Home Owner","Tenant")</f>
        <v>Home Owner</v>
      </c>
      <c r="M387">
        <v>0</v>
      </c>
      <c r="N387" t="s">
        <v>18</v>
      </c>
      <c r="O387" t="s">
        <v>19</v>
      </c>
      <c r="P387">
        <v>43</v>
      </c>
      <c r="Q387" t="str">
        <f t="shared" ref="Q387:Q450" si="34">_xlfn.IFS(P387&lt;25,"Less than 25 yrs",P387&lt;35,"25 to 34 yrs",P387&lt;45,"35 to 44 yrs",P387&lt;55,"45 to 54 yrs",P387&lt;65,"55 to 64 yrs", TRUE, "65 yrs &amp; Above")</f>
        <v>35 to 44 yrs</v>
      </c>
      <c r="R387" t="s">
        <v>20</v>
      </c>
    </row>
    <row r="388" spans="1:18">
      <c r="A388">
        <v>28957</v>
      </c>
      <c r="B388" t="s">
        <v>25</v>
      </c>
      <c r="C388" t="str">
        <f t="shared" si="30"/>
        <v>Single</v>
      </c>
      <c r="D388" t="s">
        <v>14</v>
      </c>
      <c r="E388" t="str">
        <f t="shared" si="31"/>
        <v>Female</v>
      </c>
      <c r="F388" s="3">
        <v>120000</v>
      </c>
      <c r="G388" s="3" t="str">
        <f t="shared" si="32"/>
        <v>Upper Middle Class</v>
      </c>
      <c r="H388">
        <v>0</v>
      </c>
      <c r="I388" t="s">
        <v>32</v>
      </c>
      <c r="J388" t="s">
        <v>23</v>
      </c>
      <c r="K388" t="s">
        <v>17</v>
      </c>
      <c r="L388" t="str">
        <f t="shared" si="33"/>
        <v>Home Owner</v>
      </c>
      <c r="M388">
        <v>4</v>
      </c>
      <c r="N388" t="s">
        <v>33</v>
      </c>
      <c r="O388" t="s">
        <v>27</v>
      </c>
      <c r="P388">
        <v>34</v>
      </c>
      <c r="Q388" t="str">
        <f t="shared" si="34"/>
        <v>25 to 34 yrs</v>
      </c>
      <c r="R388" t="s">
        <v>17</v>
      </c>
    </row>
    <row r="389" spans="1:18">
      <c r="A389">
        <v>13690</v>
      </c>
      <c r="B389" t="s">
        <v>25</v>
      </c>
      <c r="C389" t="str">
        <f t="shared" si="30"/>
        <v>Single</v>
      </c>
      <c r="D389" t="s">
        <v>14</v>
      </c>
      <c r="E389" t="str">
        <f t="shared" si="31"/>
        <v>Female</v>
      </c>
      <c r="F389" s="3">
        <v>20000</v>
      </c>
      <c r="G389" s="3" t="str">
        <f t="shared" si="32"/>
        <v>Lower Class</v>
      </c>
      <c r="H389">
        <v>0</v>
      </c>
      <c r="I389" t="s">
        <v>32</v>
      </c>
      <c r="J389" t="s">
        <v>28</v>
      </c>
      <c r="K389" t="s">
        <v>20</v>
      </c>
      <c r="L389" t="str">
        <f t="shared" si="33"/>
        <v>Tenant</v>
      </c>
      <c r="M389">
        <v>2</v>
      </c>
      <c r="N389" t="s">
        <v>29</v>
      </c>
      <c r="O389" t="s">
        <v>19</v>
      </c>
      <c r="P389">
        <v>34</v>
      </c>
      <c r="Q389" t="str">
        <f t="shared" si="34"/>
        <v>25 to 34 yrs</v>
      </c>
      <c r="R389" t="s">
        <v>17</v>
      </c>
    </row>
    <row r="390" spans="1:18">
      <c r="A390">
        <v>12568</v>
      </c>
      <c r="B390" t="s">
        <v>13</v>
      </c>
      <c r="C390" t="str">
        <f t="shared" si="30"/>
        <v>Married</v>
      </c>
      <c r="D390" t="s">
        <v>14</v>
      </c>
      <c r="E390" t="str">
        <f t="shared" si="31"/>
        <v>Female</v>
      </c>
      <c r="F390" s="3">
        <v>30000</v>
      </c>
      <c r="G390" s="3" t="str">
        <f t="shared" si="32"/>
        <v>Lower Class</v>
      </c>
      <c r="H390">
        <v>1</v>
      </c>
      <c r="I390" t="s">
        <v>15</v>
      </c>
      <c r="J390" t="s">
        <v>22</v>
      </c>
      <c r="K390" t="s">
        <v>17</v>
      </c>
      <c r="L390" t="str">
        <f t="shared" si="33"/>
        <v>Home Owner</v>
      </c>
      <c r="M390">
        <v>0</v>
      </c>
      <c r="N390" t="s">
        <v>18</v>
      </c>
      <c r="O390" t="s">
        <v>19</v>
      </c>
      <c r="P390">
        <v>64</v>
      </c>
      <c r="Q390" t="str">
        <f t="shared" si="34"/>
        <v>55 to 64 yrs</v>
      </c>
      <c r="R390" t="s">
        <v>20</v>
      </c>
    </row>
    <row r="391" spans="1:18">
      <c r="A391">
        <v>13122</v>
      </c>
      <c r="B391" t="s">
        <v>13</v>
      </c>
      <c r="C391" t="str">
        <f t="shared" si="30"/>
        <v>Married</v>
      </c>
      <c r="D391" t="s">
        <v>14</v>
      </c>
      <c r="E391" t="str">
        <f t="shared" si="31"/>
        <v>Female</v>
      </c>
      <c r="F391" s="3">
        <v>80000</v>
      </c>
      <c r="G391" s="3" t="str">
        <f t="shared" si="32"/>
        <v>Middle Class</v>
      </c>
      <c r="H391">
        <v>0</v>
      </c>
      <c r="I391" t="s">
        <v>15</v>
      </c>
      <c r="J391" t="s">
        <v>23</v>
      </c>
      <c r="K391" t="s">
        <v>17</v>
      </c>
      <c r="L391" t="str">
        <f t="shared" si="33"/>
        <v>Home Owner</v>
      </c>
      <c r="M391">
        <v>1</v>
      </c>
      <c r="N391" t="s">
        <v>29</v>
      </c>
      <c r="O391" t="s">
        <v>27</v>
      </c>
      <c r="P391">
        <v>41</v>
      </c>
      <c r="Q391" t="str">
        <f t="shared" si="34"/>
        <v>35 to 44 yrs</v>
      </c>
      <c r="R391" t="s">
        <v>17</v>
      </c>
    </row>
    <row r="392" spans="1:18">
      <c r="A392">
        <v>21184</v>
      </c>
      <c r="B392" t="s">
        <v>25</v>
      </c>
      <c r="C392" t="str">
        <f t="shared" si="30"/>
        <v>Single</v>
      </c>
      <c r="D392" t="s">
        <v>13</v>
      </c>
      <c r="E392" t="str">
        <f t="shared" si="31"/>
        <v>Male</v>
      </c>
      <c r="F392" s="3">
        <v>70000</v>
      </c>
      <c r="G392" s="3" t="str">
        <f t="shared" si="32"/>
        <v>Middle Class</v>
      </c>
      <c r="H392">
        <v>0</v>
      </c>
      <c r="I392" t="s">
        <v>15</v>
      </c>
      <c r="J392" t="s">
        <v>23</v>
      </c>
      <c r="K392" t="s">
        <v>20</v>
      </c>
      <c r="L392" t="str">
        <f t="shared" si="33"/>
        <v>Tenant</v>
      </c>
      <c r="M392">
        <v>1</v>
      </c>
      <c r="N392" t="s">
        <v>26</v>
      </c>
      <c r="O392" t="s">
        <v>27</v>
      </c>
      <c r="P392">
        <v>38</v>
      </c>
      <c r="Q392" t="str">
        <f t="shared" si="34"/>
        <v>35 to 44 yrs</v>
      </c>
      <c r="R392" t="s">
        <v>20</v>
      </c>
    </row>
    <row r="393" spans="1:18">
      <c r="A393">
        <v>26150</v>
      </c>
      <c r="B393" t="s">
        <v>25</v>
      </c>
      <c r="C393" t="str">
        <f t="shared" si="30"/>
        <v>Single</v>
      </c>
      <c r="D393" t="s">
        <v>14</v>
      </c>
      <c r="E393" t="str">
        <f t="shared" si="31"/>
        <v>Female</v>
      </c>
      <c r="F393" s="3">
        <v>70000</v>
      </c>
      <c r="G393" s="3" t="str">
        <f t="shared" si="32"/>
        <v>Middle Class</v>
      </c>
      <c r="H393">
        <v>0</v>
      </c>
      <c r="I393" t="s">
        <v>15</v>
      </c>
      <c r="J393" t="s">
        <v>23</v>
      </c>
      <c r="K393" t="s">
        <v>20</v>
      </c>
      <c r="L393" t="str">
        <f t="shared" si="33"/>
        <v>Tenant</v>
      </c>
      <c r="M393">
        <v>1</v>
      </c>
      <c r="N393" t="s">
        <v>18</v>
      </c>
      <c r="O393" t="s">
        <v>27</v>
      </c>
      <c r="P393">
        <v>41</v>
      </c>
      <c r="Q393" t="str">
        <f t="shared" si="34"/>
        <v>35 to 44 yrs</v>
      </c>
      <c r="R393" t="s">
        <v>17</v>
      </c>
    </row>
    <row r="394" spans="1:18">
      <c r="A394">
        <v>24151</v>
      </c>
      <c r="B394" t="s">
        <v>25</v>
      </c>
      <c r="C394" t="str">
        <f t="shared" si="30"/>
        <v>Single</v>
      </c>
      <c r="D394" t="s">
        <v>13</v>
      </c>
      <c r="E394" t="str">
        <f t="shared" si="31"/>
        <v>Male</v>
      </c>
      <c r="F394" s="3">
        <v>20000</v>
      </c>
      <c r="G394" s="3" t="str">
        <f t="shared" si="32"/>
        <v>Lower Class</v>
      </c>
      <c r="H394">
        <v>1</v>
      </c>
      <c r="I394" t="s">
        <v>15</v>
      </c>
      <c r="J394" t="s">
        <v>22</v>
      </c>
      <c r="K394" t="s">
        <v>20</v>
      </c>
      <c r="L394" t="str">
        <f t="shared" si="33"/>
        <v>Tenant</v>
      </c>
      <c r="M394">
        <v>0</v>
      </c>
      <c r="N394" t="s">
        <v>18</v>
      </c>
      <c r="O394" t="s">
        <v>19</v>
      </c>
      <c r="P394">
        <v>51</v>
      </c>
      <c r="Q394" t="str">
        <f t="shared" si="34"/>
        <v>45 to 54 yrs</v>
      </c>
      <c r="R394" t="s">
        <v>20</v>
      </c>
    </row>
    <row r="395" spans="1:18">
      <c r="A395">
        <v>23962</v>
      </c>
      <c r="B395" t="s">
        <v>13</v>
      </c>
      <c r="C395" t="str">
        <f t="shared" si="30"/>
        <v>Married</v>
      </c>
      <c r="D395" t="s">
        <v>14</v>
      </c>
      <c r="E395" t="str">
        <f t="shared" si="31"/>
        <v>Female</v>
      </c>
      <c r="F395" s="3">
        <v>10000</v>
      </c>
      <c r="G395" s="3" t="str">
        <f t="shared" si="32"/>
        <v>Lower Class</v>
      </c>
      <c r="H395">
        <v>0</v>
      </c>
      <c r="I395" t="s">
        <v>32</v>
      </c>
      <c r="J395" t="s">
        <v>28</v>
      </c>
      <c r="K395" t="s">
        <v>17</v>
      </c>
      <c r="L395" t="str">
        <f t="shared" si="33"/>
        <v>Home Owner</v>
      </c>
      <c r="M395">
        <v>2</v>
      </c>
      <c r="N395" t="s">
        <v>29</v>
      </c>
      <c r="O395" t="s">
        <v>19</v>
      </c>
      <c r="P395">
        <v>32</v>
      </c>
      <c r="Q395" t="str">
        <f t="shared" si="34"/>
        <v>25 to 34 yrs</v>
      </c>
      <c r="R395" t="s">
        <v>20</v>
      </c>
    </row>
    <row r="396" spans="1:18">
      <c r="A396">
        <v>17793</v>
      </c>
      <c r="B396" t="s">
        <v>13</v>
      </c>
      <c r="C396" t="str">
        <f t="shared" si="30"/>
        <v>Married</v>
      </c>
      <c r="D396" t="s">
        <v>14</v>
      </c>
      <c r="E396" t="str">
        <f t="shared" si="31"/>
        <v>Female</v>
      </c>
      <c r="F396" s="3">
        <v>40000</v>
      </c>
      <c r="G396" s="3" t="str">
        <f t="shared" si="32"/>
        <v>Lower Class</v>
      </c>
      <c r="H396">
        <v>0</v>
      </c>
      <c r="I396" t="s">
        <v>15</v>
      </c>
      <c r="J396" t="s">
        <v>22</v>
      </c>
      <c r="K396" t="s">
        <v>17</v>
      </c>
      <c r="L396" t="str">
        <f t="shared" si="33"/>
        <v>Home Owner</v>
      </c>
      <c r="M396">
        <v>0</v>
      </c>
      <c r="N396" t="s">
        <v>18</v>
      </c>
      <c r="O396" t="s">
        <v>19</v>
      </c>
      <c r="P396">
        <v>38</v>
      </c>
      <c r="Q396" t="str">
        <f t="shared" si="34"/>
        <v>35 to 44 yrs</v>
      </c>
      <c r="R396" t="s">
        <v>17</v>
      </c>
    </row>
    <row r="397" spans="1:18">
      <c r="A397">
        <v>14926</v>
      </c>
      <c r="B397" t="s">
        <v>13</v>
      </c>
      <c r="C397" t="str">
        <f t="shared" si="30"/>
        <v>Married</v>
      </c>
      <c r="D397" t="s">
        <v>13</v>
      </c>
      <c r="E397" t="str">
        <f t="shared" si="31"/>
        <v>Male</v>
      </c>
      <c r="F397" s="3">
        <v>30000</v>
      </c>
      <c r="G397" s="3" t="str">
        <f t="shared" si="32"/>
        <v>Lower Class</v>
      </c>
      <c r="H397">
        <v>1</v>
      </c>
      <c r="I397" t="s">
        <v>15</v>
      </c>
      <c r="J397" t="s">
        <v>22</v>
      </c>
      <c r="K397" t="s">
        <v>17</v>
      </c>
      <c r="L397" t="str">
        <f t="shared" si="33"/>
        <v>Home Owner</v>
      </c>
      <c r="M397">
        <v>0</v>
      </c>
      <c r="N397" t="s">
        <v>18</v>
      </c>
      <c r="O397" t="s">
        <v>19</v>
      </c>
      <c r="P397">
        <v>38</v>
      </c>
      <c r="Q397" t="str">
        <f t="shared" si="34"/>
        <v>35 to 44 yrs</v>
      </c>
      <c r="R397" t="s">
        <v>17</v>
      </c>
    </row>
    <row r="398" spans="1:18">
      <c r="A398">
        <v>16163</v>
      </c>
      <c r="B398" t="s">
        <v>25</v>
      </c>
      <c r="C398" t="str">
        <f t="shared" si="30"/>
        <v>Single</v>
      </c>
      <c r="D398" t="s">
        <v>13</v>
      </c>
      <c r="E398" t="str">
        <f t="shared" si="31"/>
        <v>Male</v>
      </c>
      <c r="F398" s="3">
        <v>60000</v>
      </c>
      <c r="G398" s="3" t="str">
        <f t="shared" si="32"/>
        <v>Middle Class</v>
      </c>
      <c r="H398">
        <v>2</v>
      </c>
      <c r="I398" t="s">
        <v>15</v>
      </c>
      <c r="J398" t="s">
        <v>23</v>
      </c>
      <c r="K398" t="s">
        <v>17</v>
      </c>
      <c r="L398" t="str">
        <f t="shared" si="33"/>
        <v>Home Owner</v>
      </c>
      <c r="M398">
        <v>1</v>
      </c>
      <c r="N398" t="s">
        <v>24</v>
      </c>
      <c r="O398" t="s">
        <v>27</v>
      </c>
      <c r="P398">
        <v>38</v>
      </c>
      <c r="Q398" t="str">
        <f t="shared" si="34"/>
        <v>35 to 44 yrs</v>
      </c>
      <c r="R398" t="s">
        <v>17</v>
      </c>
    </row>
    <row r="399" spans="1:18">
      <c r="A399">
        <v>21365</v>
      </c>
      <c r="B399" t="s">
        <v>13</v>
      </c>
      <c r="C399" t="str">
        <f t="shared" si="30"/>
        <v>Married</v>
      </c>
      <c r="D399" t="s">
        <v>14</v>
      </c>
      <c r="E399" t="str">
        <f t="shared" si="31"/>
        <v>Female</v>
      </c>
      <c r="F399" s="3">
        <v>10000</v>
      </c>
      <c r="G399" s="3" t="str">
        <f t="shared" si="32"/>
        <v>Lower Class</v>
      </c>
      <c r="H399">
        <v>2</v>
      </c>
      <c r="I399" t="s">
        <v>32</v>
      </c>
      <c r="J399" t="s">
        <v>22</v>
      </c>
      <c r="K399" t="s">
        <v>17</v>
      </c>
      <c r="L399" t="str">
        <f t="shared" si="33"/>
        <v>Home Owner</v>
      </c>
      <c r="M399">
        <v>2</v>
      </c>
      <c r="N399" t="s">
        <v>26</v>
      </c>
      <c r="O399" t="s">
        <v>27</v>
      </c>
      <c r="P399">
        <v>58</v>
      </c>
      <c r="Q399" t="str">
        <f t="shared" si="34"/>
        <v>55 to 64 yrs</v>
      </c>
      <c r="R399" t="s">
        <v>20</v>
      </c>
    </row>
    <row r="400" spans="1:18">
      <c r="A400">
        <v>27771</v>
      </c>
      <c r="B400" t="s">
        <v>25</v>
      </c>
      <c r="C400" t="str">
        <f t="shared" si="30"/>
        <v>Single</v>
      </c>
      <c r="D400" t="s">
        <v>13</v>
      </c>
      <c r="E400" t="str">
        <f t="shared" si="31"/>
        <v>Male</v>
      </c>
      <c r="F400" s="3">
        <v>30000</v>
      </c>
      <c r="G400" s="3" t="str">
        <f t="shared" si="32"/>
        <v>Lower Class</v>
      </c>
      <c r="H400">
        <v>1</v>
      </c>
      <c r="I400" t="s">
        <v>15</v>
      </c>
      <c r="J400" t="s">
        <v>22</v>
      </c>
      <c r="K400" t="s">
        <v>17</v>
      </c>
      <c r="L400" t="str">
        <f t="shared" si="33"/>
        <v>Home Owner</v>
      </c>
      <c r="M400">
        <v>1</v>
      </c>
      <c r="N400" t="s">
        <v>29</v>
      </c>
      <c r="O400" t="s">
        <v>19</v>
      </c>
      <c r="P400">
        <v>39</v>
      </c>
      <c r="Q400" t="str">
        <f t="shared" si="34"/>
        <v>35 to 44 yrs</v>
      </c>
      <c r="R400" t="s">
        <v>17</v>
      </c>
    </row>
    <row r="401" spans="1:18">
      <c r="A401">
        <v>26167</v>
      </c>
      <c r="B401" t="s">
        <v>25</v>
      </c>
      <c r="C401" t="str">
        <f t="shared" si="30"/>
        <v>Single</v>
      </c>
      <c r="D401" t="s">
        <v>14</v>
      </c>
      <c r="E401" t="str">
        <f t="shared" si="31"/>
        <v>Female</v>
      </c>
      <c r="F401" s="3">
        <v>40000</v>
      </c>
      <c r="G401" s="3" t="str">
        <f t="shared" si="32"/>
        <v>Lower Class</v>
      </c>
      <c r="H401">
        <v>2</v>
      </c>
      <c r="I401" t="s">
        <v>15</v>
      </c>
      <c r="J401" t="s">
        <v>31</v>
      </c>
      <c r="K401" t="s">
        <v>20</v>
      </c>
      <c r="L401" t="str">
        <f t="shared" si="33"/>
        <v>Tenant</v>
      </c>
      <c r="M401">
        <v>1</v>
      </c>
      <c r="N401" t="s">
        <v>26</v>
      </c>
      <c r="O401" t="s">
        <v>27</v>
      </c>
      <c r="P401">
        <v>53</v>
      </c>
      <c r="Q401" t="str">
        <f t="shared" si="34"/>
        <v>45 to 54 yrs</v>
      </c>
      <c r="R401" t="s">
        <v>17</v>
      </c>
    </row>
    <row r="402" spans="1:18">
      <c r="A402">
        <v>25792</v>
      </c>
      <c r="B402" t="s">
        <v>25</v>
      </c>
      <c r="C402" t="str">
        <f t="shared" si="30"/>
        <v>Single</v>
      </c>
      <c r="D402" t="s">
        <v>14</v>
      </c>
      <c r="E402" t="str">
        <f t="shared" si="31"/>
        <v>Female</v>
      </c>
      <c r="F402" s="3">
        <v>110000</v>
      </c>
      <c r="G402" s="3" t="str">
        <f t="shared" si="32"/>
        <v>Middle Class</v>
      </c>
      <c r="H402">
        <v>3</v>
      </c>
      <c r="I402" t="s">
        <v>15</v>
      </c>
      <c r="J402" t="s">
        <v>31</v>
      </c>
      <c r="K402" t="s">
        <v>17</v>
      </c>
      <c r="L402" t="str">
        <f t="shared" si="33"/>
        <v>Home Owner</v>
      </c>
      <c r="M402">
        <v>4</v>
      </c>
      <c r="N402" t="s">
        <v>33</v>
      </c>
      <c r="O402" t="s">
        <v>19</v>
      </c>
      <c r="P402">
        <v>53</v>
      </c>
      <c r="Q402" t="str">
        <f t="shared" si="34"/>
        <v>45 to 54 yrs</v>
      </c>
      <c r="R402" t="s">
        <v>20</v>
      </c>
    </row>
    <row r="403" spans="1:18">
      <c r="A403">
        <v>11555</v>
      </c>
      <c r="B403" t="s">
        <v>13</v>
      </c>
      <c r="C403" t="str">
        <f t="shared" si="30"/>
        <v>Married</v>
      </c>
      <c r="D403" t="s">
        <v>14</v>
      </c>
      <c r="E403" t="str">
        <f t="shared" si="31"/>
        <v>Female</v>
      </c>
      <c r="F403" s="3">
        <v>40000</v>
      </c>
      <c r="G403" s="3" t="str">
        <f t="shared" si="32"/>
        <v>Lower Class</v>
      </c>
      <c r="H403">
        <v>1</v>
      </c>
      <c r="I403" t="s">
        <v>15</v>
      </c>
      <c r="J403" t="s">
        <v>22</v>
      </c>
      <c r="K403" t="s">
        <v>17</v>
      </c>
      <c r="L403" t="str">
        <f t="shared" si="33"/>
        <v>Home Owner</v>
      </c>
      <c r="M403">
        <v>0</v>
      </c>
      <c r="N403" t="s">
        <v>18</v>
      </c>
      <c r="O403" t="s">
        <v>19</v>
      </c>
      <c r="P403">
        <v>80</v>
      </c>
      <c r="Q403" t="str">
        <f t="shared" si="34"/>
        <v>65 yrs &amp; Above</v>
      </c>
      <c r="R403" t="s">
        <v>20</v>
      </c>
    </row>
    <row r="404" spans="1:18">
      <c r="A404">
        <v>22381</v>
      </c>
      <c r="B404" t="s">
        <v>13</v>
      </c>
      <c r="C404" t="str">
        <f t="shared" si="30"/>
        <v>Married</v>
      </c>
      <c r="D404" t="s">
        <v>13</v>
      </c>
      <c r="E404" t="str">
        <f t="shared" si="31"/>
        <v>Male</v>
      </c>
      <c r="F404" s="3">
        <v>10000</v>
      </c>
      <c r="G404" s="3" t="str">
        <f t="shared" si="32"/>
        <v>Lower Class</v>
      </c>
      <c r="H404">
        <v>1</v>
      </c>
      <c r="I404" t="s">
        <v>34</v>
      </c>
      <c r="J404" t="s">
        <v>28</v>
      </c>
      <c r="K404" t="s">
        <v>17</v>
      </c>
      <c r="L404" t="str">
        <f t="shared" si="33"/>
        <v>Home Owner</v>
      </c>
      <c r="M404">
        <v>0</v>
      </c>
      <c r="N404" t="s">
        <v>18</v>
      </c>
      <c r="O404" t="s">
        <v>19</v>
      </c>
      <c r="P404">
        <v>44</v>
      </c>
      <c r="Q404" t="str">
        <f t="shared" si="34"/>
        <v>35 to 44 yrs</v>
      </c>
      <c r="R404" t="s">
        <v>20</v>
      </c>
    </row>
    <row r="405" spans="1:18">
      <c r="A405">
        <v>17882</v>
      </c>
      <c r="B405" t="s">
        <v>13</v>
      </c>
      <c r="C405" t="str">
        <f t="shared" si="30"/>
        <v>Married</v>
      </c>
      <c r="D405" t="s">
        <v>13</v>
      </c>
      <c r="E405" t="str">
        <f t="shared" si="31"/>
        <v>Male</v>
      </c>
      <c r="F405" s="3">
        <v>20000</v>
      </c>
      <c r="G405" s="3" t="str">
        <f t="shared" si="32"/>
        <v>Lower Class</v>
      </c>
      <c r="H405">
        <v>1</v>
      </c>
      <c r="I405" t="s">
        <v>34</v>
      </c>
      <c r="J405" t="s">
        <v>22</v>
      </c>
      <c r="K405" t="s">
        <v>17</v>
      </c>
      <c r="L405" t="str">
        <f t="shared" si="33"/>
        <v>Home Owner</v>
      </c>
      <c r="M405">
        <v>0</v>
      </c>
      <c r="N405" t="s">
        <v>18</v>
      </c>
      <c r="O405" t="s">
        <v>19</v>
      </c>
      <c r="P405">
        <v>44</v>
      </c>
      <c r="Q405" t="str">
        <f t="shared" si="34"/>
        <v>35 to 44 yrs</v>
      </c>
      <c r="R405" t="s">
        <v>20</v>
      </c>
    </row>
    <row r="406" spans="1:18">
      <c r="A406">
        <v>22174</v>
      </c>
      <c r="B406" t="s">
        <v>13</v>
      </c>
      <c r="C406" t="str">
        <f t="shared" si="30"/>
        <v>Married</v>
      </c>
      <c r="D406" t="s">
        <v>13</v>
      </c>
      <c r="E406" t="str">
        <f t="shared" si="31"/>
        <v>Male</v>
      </c>
      <c r="F406" s="3">
        <v>30000</v>
      </c>
      <c r="G406" s="3" t="str">
        <f t="shared" si="32"/>
        <v>Lower Class</v>
      </c>
      <c r="H406">
        <v>3</v>
      </c>
      <c r="I406" t="s">
        <v>30</v>
      </c>
      <c r="J406" t="s">
        <v>16</v>
      </c>
      <c r="K406" t="s">
        <v>17</v>
      </c>
      <c r="L406" t="str">
        <f t="shared" si="33"/>
        <v>Home Owner</v>
      </c>
      <c r="M406">
        <v>2</v>
      </c>
      <c r="N406" t="s">
        <v>26</v>
      </c>
      <c r="O406" t="s">
        <v>27</v>
      </c>
      <c r="P406">
        <v>54</v>
      </c>
      <c r="Q406" t="str">
        <f t="shared" si="34"/>
        <v>45 to 54 yrs</v>
      </c>
      <c r="R406" t="s">
        <v>17</v>
      </c>
    </row>
    <row r="407" spans="1:18">
      <c r="A407">
        <v>22439</v>
      </c>
      <c r="B407" t="s">
        <v>13</v>
      </c>
      <c r="C407" t="str">
        <f t="shared" si="30"/>
        <v>Married</v>
      </c>
      <c r="D407" t="s">
        <v>14</v>
      </c>
      <c r="E407" t="str">
        <f t="shared" si="31"/>
        <v>Female</v>
      </c>
      <c r="F407" s="3">
        <v>30000</v>
      </c>
      <c r="G407" s="3" t="str">
        <f t="shared" si="32"/>
        <v>Lower Class</v>
      </c>
      <c r="H407">
        <v>0</v>
      </c>
      <c r="I407" t="s">
        <v>15</v>
      </c>
      <c r="J407" t="s">
        <v>22</v>
      </c>
      <c r="K407" t="s">
        <v>17</v>
      </c>
      <c r="L407" t="str">
        <f t="shared" si="33"/>
        <v>Home Owner</v>
      </c>
      <c r="M407">
        <v>0</v>
      </c>
      <c r="N407" t="s">
        <v>18</v>
      </c>
      <c r="O407" t="s">
        <v>19</v>
      </c>
      <c r="P407">
        <v>37</v>
      </c>
      <c r="Q407" t="str">
        <f t="shared" si="34"/>
        <v>35 to 44 yrs</v>
      </c>
      <c r="R407" t="s">
        <v>17</v>
      </c>
    </row>
    <row r="408" spans="1:18">
      <c r="A408">
        <v>18012</v>
      </c>
      <c r="B408" t="s">
        <v>13</v>
      </c>
      <c r="C408" t="str">
        <f t="shared" si="30"/>
        <v>Married</v>
      </c>
      <c r="D408" t="s">
        <v>14</v>
      </c>
      <c r="E408" t="str">
        <f t="shared" si="31"/>
        <v>Female</v>
      </c>
      <c r="F408" s="3">
        <v>40000</v>
      </c>
      <c r="G408" s="3" t="str">
        <f t="shared" si="32"/>
        <v>Lower Class</v>
      </c>
      <c r="H408">
        <v>1</v>
      </c>
      <c r="I408" t="s">
        <v>15</v>
      </c>
      <c r="J408" t="s">
        <v>16</v>
      </c>
      <c r="K408" t="s">
        <v>17</v>
      </c>
      <c r="L408" t="str">
        <f t="shared" si="33"/>
        <v>Home Owner</v>
      </c>
      <c r="M408">
        <v>0</v>
      </c>
      <c r="N408" t="s">
        <v>18</v>
      </c>
      <c r="O408" t="s">
        <v>19</v>
      </c>
      <c r="P408">
        <v>41</v>
      </c>
      <c r="Q408" t="str">
        <f t="shared" si="34"/>
        <v>35 to 44 yrs</v>
      </c>
      <c r="R408" t="s">
        <v>20</v>
      </c>
    </row>
    <row r="409" spans="1:18">
      <c r="A409">
        <v>27582</v>
      </c>
      <c r="B409" t="s">
        <v>25</v>
      </c>
      <c r="C409" t="str">
        <f t="shared" si="30"/>
        <v>Single</v>
      </c>
      <c r="D409" t="s">
        <v>14</v>
      </c>
      <c r="E409" t="str">
        <f t="shared" si="31"/>
        <v>Female</v>
      </c>
      <c r="F409" s="3">
        <v>90000</v>
      </c>
      <c r="G409" s="3" t="str">
        <f t="shared" si="32"/>
        <v>Middle Class</v>
      </c>
      <c r="H409">
        <v>2</v>
      </c>
      <c r="I409" t="s">
        <v>15</v>
      </c>
      <c r="J409" t="s">
        <v>23</v>
      </c>
      <c r="K409" t="s">
        <v>20</v>
      </c>
      <c r="L409" t="str">
        <f t="shared" si="33"/>
        <v>Tenant</v>
      </c>
      <c r="M409">
        <v>0</v>
      </c>
      <c r="N409" t="s">
        <v>18</v>
      </c>
      <c r="O409" t="s">
        <v>27</v>
      </c>
      <c r="P409">
        <v>36</v>
      </c>
      <c r="Q409" t="str">
        <f t="shared" si="34"/>
        <v>35 to 44 yrs</v>
      </c>
      <c r="R409" t="s">
        <v>17</v>
      </c>
    </row>
    <row r="410" spans="1:18">
      <c r="A410">
        <v>12744</v>
      </c>
      <c r="B410" t="s">
        <v>25</v>
      </c>
      <c r="C410" t="str">
        <f t="shared" si="30"/>
        <v>Single</v>
      </c>
      <c r="D410" t="s">
        <v>14</v>
      </c>
      <c r="E410" t="str">
        <f t="shared" si="31"/>
        <v>Female</v>
      </c>
      <c r="F410" s="3">
        <v>40000</v>
      </c>
      <c r="G410" s="3" t="str">
        <f t="shared" si="32"/>
        <v>Lower Class</v>
      </c>
      <c r="H410">
        <v>2</v>
      </c>
      <c r="I410" t="s">
        <v>21</v>
      </c>
      <c r="J410" t="s">
        <v>22</v>
      </c>
      <c r="K410" t="s">
        <v>17</v>
      </c>
      <c r="L410" t="str">
        <f t="shared" si="33"/>
        <v>Home Owner</v>
      </c>
      <c r="M410">
        <v>0</v>
      </c>
      <c r="N410" t="s">
        <v>18</v>
      </c>
      <c r="O410" t="s">
        <v>19</v>
      </c>
      <c r="P410">
        <v>33</v>
      </c>
      <c r="Q410" t="str">
        <f t="shared" si="34"/>
        <v>25 to 34 yrs</v>
      </c>
      <c r="R410" t="s">
        <v>20</v>
      </c>
    </row>
    <row r="411" spans="1:18">
      <c r="A411">
        <v>22821</v>
      </c>
      <c r="B411" t="s">
        <v>13</v>
      </c>
      <c r="C411" t="str">
        <f t="shared" si="30"/>
        <v>Married</v>
      </c>
      <c r="D411" t="s">
        <v>14</v>
      </c>
      <c r="E411" t="str">
        <f t="shared" si="31"/>
        <v>Female</v>
      </c>
      <c r="F411" s="3">
        <v>130000</v>
      </c>
      <c r="G411" s="3" t="str">
        <f t="shared" si="32"/>
        <v>Upper Middle Class</v>
      </c>
      <c r="H411">
        <v>3</v>
      </c>
      <c r="I411" t="s">
        <v>21</v>
      </c>
      <c r="J411" t="s">
        <v>23</v>
      </c>
      <c r="K411" t="s">
        <v>17</v>
      </c>
      <c r="L411" t="str">
        <f t="shared" si="33"/>
        <v>Home Owner</v>
      </c>
      <c r="M411">
        <v>4</v>
      </c>
      <c r="N411" t="s">
        <v>18</v>
      </c>
      <c r="O411" t="s">
        <v>19</v>
      </c>
      <c r="P411">
        <v>52</v>
      </c>
      <c r="Q411" t="str">
        <f t="shared" si="34"/>
        <v>45 to 54 yrs</v>
      </c>
      <c r="R411" t="s">
        <v>20</v>
      </c>
    </row>
    <row r="412" spans="1:18">
      <c r="A412">
        <v>20171</v>
      </c>
      <c r="B412" t="s">
        <v>13</v>
      </c>
      <c r="C412" t="str">
        <f t="shared" si="30"/>
        <v>Married</v>
      </c>
      <c r="D412" t="s">
        <v>14</v>
      </c>
      <c r="E412" t="str">
        <f t="shared" si="31"/>
        <v>Female</v>
      </c>
      <c r="F412" s="3">
        <v>20000</v>
      </c>
      <c r="G412" s="3" t="str">
        <f t="shared" si="32"/>
        <v>Lower Class</v>
      </c>
      <c r="H412">
        <v>2</v>
      </c>
      <c r="I412" t="s">
        <v>21</v>
      </c>
      <c r="J412" t="s">
        <v>28</v>
      </c>
      <c r="K412" t="s">
        <v>17</v>
      </c>
      <c r="L412" t="str">
        <f t="shared" si="33"/>
        <v>Home Owner</v>
      </c>
      <c r="M412">
        <v>1</v>
      </c>
      <c r="N412" t="s">
        <v>18</v>
      </c>
      <c r="O412" t="s">
        <v>19</v>
      </c>
      <c r="P412">
        <v>46</v>
      </c>
      <c r="Q412" t="str">
        <f t="shared" si="34"/>
        <v>45 to 54 yrs</v>
      </c>
      <c r="R412" t="s">
        <v>17</v>
      </c>
    </row>
    <row r="413" spans="1:18">
      <c r="A413">
        <v>11116</v>
      </c>
      <c r="B413" t="s">
        <v>13</v>
      </c>
      <c r="C413" t="str">
        <f t="shared" si="30"/>
        <v>Married</v>
      </c>
      <c r="D413" t="s">
        <v>13</v>
      </c>
      <c r="E413" t="str">
        <f t="shared" si="31"/>
        <v>Male</v>
      </c>
      <c r="F413" s="3">
        <v>70000</v>
      </c>
      <c r="G413" s="3" t="str">
        <f t="shared" si="32"/>
        <v>Middle Class</v>
      </c>
      <c r="H413">
        <v>5</v>
      </c>
      <c r="I413" t="s">
        <v>21</v>
      </c>
      <c r="J413" t="s">
        <v>16</v>
      </c>
      <c r="K413" t="s">
        <v>17</v>
      </c>
      <c r="L413" t="str">
        <f t="shared" si="33"/>
        <v>Home Owner</v>
      </c>
      <c r="M413">
        <v>2</v>
      </c>
      <c r="N413" t="s">
        <v>26</v>
      </c>
      <c r="O413" t="s">
        <v>27</v>
      </c>
      <c r="P413">
        <v>43</v>
      </c>
      <c r="Q413" t="str">
        <f t="shared" si="34"/>
        <v>35 to 44 yrs</v>
      </c>
      <c r="R413" t="s">
        <v>20</v>
      </c>
    </row>
    <row r="414" spans="1:18">
      <c r="A414">
        <v>20053</v>
      </c>
      <c r="B414" t="s">
        <v>25</v>
      </c>
      <c r="C414" t="str">
        <f t="shared" si="30"/>
        <v>Single</v>
      </c>
      <c r="D414" t="s">
        <v>13</v>
      </c>
      <c r="E414" t="str">
        <f t="shared" si="31"/>
        <v>Male</v>
      </c>
      <c r="F414" s="3">
        <v>40000</v>
      </c>
      <c r="G414" s="3" t="str">
        <f t="shared" si="32"/>
        <v>Lower Class</v>
      </c>
      <c r="H414">
        <v>2</v>
      </c>
      <c r="I414" t="s">
        <v>21</v>
      </c>
      <c r="J414" t="s">
        <v>22</v>
      </c>
      <c r="K414" t="s">
        <v>17</v>
      </c>
      <c r="L414" t="str">
        <f t="shared" si="33"/>
        <v>Home Owner</v>
      </c>
      <c r="M414">
        <v>0</v>
      </c>
      <c r="N414" t="s">
        <v>18</v>
      </c>
      <c r="O414" t="s">
        <v>19</v>
      </c>
      <c r="P414">
        <v>34</v>
      </c>
      <c r="Q414" t="str">
        <f t="shared" si="34"/>
        <v>25 to 34 yrs</v>
      </c>
      <c r="R414" t="s">
        <v>20</v>
      </c>
    </row>
    <row r="415" spans="1:18">
      <c r="A415">
        <v>25266</v>
      </c>
      <c r="B415" t="s">
        <v>25</v>
      </c>
      <c r="C415" t="str">
        <f t="shared" si="30"/>
        <v>Single</v>
      </c>
      <c r="D415" t="s">
        <v>14</v>
      </c>
      <c r="E415" t="str">
        <f t="shared" si="31"/>
        <v>Female</v>
      </c>
      <c r="F415" s="3">
        <v>30000</v>
      </c>
      <c r="G415" s="3" t="str">
        <f t="shared" si="32"/>
        <v>Lower Class</v>
      </c>
      <c r="H415">
        <v>2</v>
      </c>
      <c r="I415" t="s">
        <v>21</v>
      </c>
      <c r="J415" t="s">
        <v>22</v>
      </c>
      <c r="K415" t="s">
        <v>20</v>
      </c>
      <c r="L415" t="str">
        <f t="shared" si="33"/>
        <v>Tenant</v>
      </c>
      <c r="M415">
        <v>2</v>
      </c>
      <c r="N415" t="s">
        <v>26</v>
      </c>
      <c r="O415" t="s">
        <v>27</v>
      </c>
      <c r="P415">
        <v>67</v>
      </c>
      <c r="Q415" t="str">
        <f t="shared" si="34"/>
        <v>65 yrs &amp; Above</v>
      </c>
      <c r="R415" t="s">
        <v>20</v>
      </c>
    </row>
    <row r="416" spans="1:18">
      <c r="A416">
        <v>17960</v>
      </c>
      <c r="B416" t="s">
        <v>13</v>
      </c>
      <c r="C416" t="str">
        <f t="shared" si="30"/>
        <v>Married</v>
      </c>
      <c r="D416" t="s">
        <v>14</v>
      </c>
      <c r="E416" t="str">
        <f t="shared" si="31"/>
        <v>Female</v>
      </c>
      <c r="F416" s="3">
        <v>40000</v>
      </c>
      <c r="G416" s="3" t="str">
        <f t="shared" si="32"/>
        <v>Lower Class</v>
      </c>
      <c r="H416">
        <v>0</v>
      </c>
      <c r="I416" t="s">
        <v>34</v>
      </c>
      <c r="J416" t="s">
        <v>22</v>
      </c>
      <c r="K416" t="s">
        <v>17</v>
      </c>
      <c r="L416" t="str">
        <f t="shared" si="33"/>
        <v>Home Owner</v>
      </c>
      <c r="M416">
        <v>0</v>
      </c>
      <c r="N416" t="s">
        <v>18</v>
      </c>
      <c r="O416" t="s">
        <v>19</v>
      </c>
      <c r="P416">
        <v>35</v>
      </c>
      <c r="Q416" t="str">
        <f t="shared" si="34"/>
        <v>35 to 44 yrs</v>
      </c>
      <c r="R416" t="s">
        <v>17</v>
      </c>
    </row>
    <row r="417" spans="1:18">
      <c r="A417">
        <v>13961</v>
      </c>
      <c r="B417" t="s">
        <v>13</v>
      </c>
      <c r="C417" t="str">
        <f t="shared" si="30"/>
        <v>Married</v>
      </c>
      <c r="D417" t="s">
        <v>14</v>
      </c>
      <c r="E417" t="str">
        <f t="shared" si="31"/>
        <v>Female</v>
      </c>
      <c r="F417" s="3">
        <v>80000</v>
      </c>
      <c r="G417" s="3" t="str">
        <f t="shared" si="32"/>
        <v>Middle Class</v>
      </c>
      <c r="H417">
        <v>5</v>
      </c>
      <c r="I417" t="s">
        <v>34</v>
      </c>
      <c r="J417" t="s">
        <v>31</v>
      </c>
      <c r="K417" t="s">
        <v>17</v>
      </c>
      <c r="L417" t="str">
        <f t="shared" si="33"/>
        <v>Home Owner</v>
      </c>
      <c r="M417">
        <v>3</v>
      </c>
      <c r="N417" t="s">
        <v>18</v>
      </c>
      <c r="O417" t="s">
        <v>27</v>
      </c>
      <c r="P417">
        <v>40</v>
      </c>
      <c r="Q417" t="str">
        <f t="shared" si="34"/>
        <v>35 to 44 yrs</v>
      </c>
      <c r="R417" t="s">
        <v>20</v>
      </c>
    </row>
    <row r="418" spans="1:18">
      <c r="A418">
        <v>11897</v>
      </c>
      <c r="B418" t="s">
        <v>25</v>
      </c>
      <c r="C418" t="str">
        <f t="shared" si="30"/>
        <v>Single</v>
      </c>
      <c r="D418" t="s">
        <v>13</v>
      </c>
      <c r="E418" t="str">
        <f t="shared" si="31"/>
        <v>Male</v>
      </c>
      <c r="F418" s="3">
        <v>60000</v>
      </c>
      <c r="G418" s="3" t="str">
        <f t="shared" si="32"/>
        <v>Middle Class</v>
      </c>
      <c r="H418">
        <v>2</v>
      </c>
      <c r="I418" t="s">
        <v>15</v>
      </c>
      <c r="J418" t="s">
        <v>23</v>
      </c>
      <c r="K418" t="s">
        <v>20</v>
      </c>
      <c r="L418" t="str">
        <f t="shared" si="33"/>
        <v>Tenant</v>
      </c>
      <c r="M418">
        <v>1</v>
      </c>
      <c r="N418" t="s">
        <v>18</v>
      </c>
      <c r="O418" t="s">
        <v>27</v>
      </c>
      <c r="P418">
        <v>37</v>
      </c>
      <c r="Q418" t="str">
        <f t="shared" si="34"/>
        <v>35 to 44 yrs</v>
      </c>
      <c r="R418" t="s">
        <v>17</v>
      </c>
    </row>
    <row r="419" spans="1:18">
      <c r="A419">
        <v>11139</v>
      </c>
      <c r="B419" t="s">
        <v>25</v>
      </c>
      <c r="C419" t="str">
        <f t="shared" si="30"/>
        <v>Single</v>
      </c>
      <c r="D419" t="s">
        <v>14</v>
      </c>
      <c r="E419" t="str">
        <f t="shared" si="31"/>
        <v>Female</v>
      </c>
      <c r="F419" s="3">
        <v>30000</v>
      </c>
      <c r="G419" s="3" t="str">
        <f t="shared" si="32"/>
        <v>Lower Class</v>
      </c>
      <c r="H419">
        <v>2</v>
      </c>
      <c r="I419" t="s">
        <v>21</v>
      </c>
      <c r="J419" t="s">
        <v>22</v>
      </c>
      <c r="K419" t="s">
        <v>20</v>
      </c>
      <c r="L419" t="str">
        <f t="shared" si="33"/>
        <v>Tenant</v>
      </c>
      <c r="M419">
        <v>2</v>
      </c>
      <c r="N419" t="s">
        <v>26</v>
      </c>
      <c r="O419" t="s">
        <v>27</v>
      </c>
      <c r="P419">
        <v>67</v>
      </c>
      <c r="Q419" t="str">
        <f t="shared" si="34"/>
        <v>65 yrs &amp; Above</v>
      </c>
      <c r="R419" t="s">
        <v>20</v>
      </c>
    </row>
    <row r="420" spans="1:18">
      <c r="A420">
        <v>11576</v>
      </c>
      <c r="B420" t="s">
        <v>13</v>
      </c>
      <c r="C420" t="str">
        <f t="shared" si="30"/>
        <v>Married</v>
      </c>
      <c r="D420" t="s">
        <v>13</v>
      </c>
      <c r="E420" t="str">
        <f t="shared" si="31"/>
        <v>Male</v>
      </c>
      <c r="F420" s="3">
        <v>30000</v>
      </c>
      <c r="G420" s="3" t="str">
        <f t="shared" si="32"/>
        <v>Lower Class</v>
      </c>
      <c r="H420">
        <v>1</v>
      </c>
      <c r="I420" t="s">
        <v>15</v>
      </c>
      <c r="J420" t="s">
        <v>16</v>
      </c>
      <c r="K420" t="s">
        <v>17</v>
      </c>
      <c r="L420" t="str">
        <f t="shared" si="33"/>
        <v>Home Owner</v>
      </c>
      <c r="M420">
        <v>2</v>
      </c>
      <c r="N420" t="s">
        <v>18</v>
      </c>
      <c r="O420" t="s">
        <v>19</v>
      </c>
      <c r="P420">
        <v>41</v>
      </c>
      <c r="Q420" t="str">
        <f t="shared" si="34"/>
        <v>35 to 44 yrs</v>
      </c>
      <c r="R420" t="s">
        <v>17</v>
      </c>
    </row>
    <row r="421" spans="1:18">
      <c r="A421">
        <v>19255</v>
      </c>
      <c r="B421" t="s">
        <v>25</v>
      </c>
      <c r="C421" t="str">
        <f t="shared" si="30"/>
        <v>Single</v>
      </c>
      <c r="D421" t="s">
        <v>13</v>
      </c>
      <c r="E421" t="str">
        <f t="shared" si="31"/>
        <v>Male</v>
      </c>
      <c r="F421" s="3">
        <v>10000</v>
      </c>
      <c r="G421" s="3" t="str">
        <f t="shared" si="32"/>
        <v>Lower Class</v>
      </c>
      <c r="H421">
        <v>2</v>
      </c>
      <c r="I421" t="s">
        <v>21</v>
      </c>
      <c r="J421" t="s">
        <v>28</v>
      </c>
      <c r="K421" t="s">
        <v>17</v>
      </c>
      <c r="L421" t="str">
        <f t="shared" si="33"/>
        <v>Home Owner</v>
      </c>
      <c r="M421">
        <v>1</v>
      </c>
      <c r="N421" t="s">
        <v>18</v>
      </c>
      <c r="O421" t="s">
        <v>19</v>
      </c>
      <c r="P421">
        <v>51</v>
      </c>
      <c r="Q421" t="str">
        <f t="shared" si="34"/>
        <v>45 to 54 yrs</v>
      </c>
      <c r="R421" t="s">
        <v>17</v>
      </c>
    </row>
    <row r="422" spans="1:18">
      <c r="A422">
        <v>18153</v>
      </c>
      <c r="B422" t="s">
        <v>13</v>
      </c>
      <c r="C422" t="str">
        <f t="shared" si="30"/>
        <v>Married</v>
      </c>
      <c r="D422" t="s">
        <v>14</v>
      </c>
      <c r="E422" t="str">
        <f t="shared" si="31"/>
        <v>Female</v>
      </c>
      <c r="F422" s="3">
        <v>100000</v>
      </c>
      <c r="G422" s="3" t="str">
        <f t="shared" si="32"/>
        <v>Middle Class</v>
      </c>
      <c r="H422">
        <v>2</v>
      </c>
      <c r="I422" t="s">
        <v>15</v>
      </c>
      <c r="J422" t="s">
        <v>31</v>
      </c>
      <c r="K422" t="s">
        <v>17</v>
      </c>
      <c r="L422" t="str">
        <f t="shared" si="33"/>
        <v>Home Owner</v>
      </c>
      <c r="M422">
        <v>4</v>
      </c>
      <c r="N422" t="s">
        <v>33</v>
      </c>
      <c r="O422" t="s">
        <v>19</v>
      </c>
      <c r="P422">
        <v>59</v>
      </c>
      <c r="Q422" t="str">
        <f t="shared" si="34"/>
        <v>55 to 64 yrs</v>
      </c>
      <c r="R422" t="s">
        <v>20</v>
      </c>
    </row>
    <row r="423" spans="1:18">
      <c r="A423">
        <v>14547</v>
      </c>
      <c r="B423" t="s">
        <v>13</v>
      </c>
      <c r="C423" t="str">
        <f t="shared" si="30"/>
        <v>Married</v>
      </c>
      <c r="D423" t="s">
        <v>13</v>
      </c>
      <c r="E423" t="str">
        <f t="shared" si="31"/>
        <v>Male</v>
      </c>
      <c r="F423" s="3">
        <v>10000</v>
      </c>
      <c r="G423" s="3" t="str">
        <f t="shared" si="32"/>
        <v>Lower Class</v>
      </c>
      <c r="H423">
        <v>2</v>
      </c>
      <c r="I423" t="s">
        <v>21</v>
      </c>
      <c r="J423" t="s">
        <v>28</v>
      </c>
      <c r="K423" t="s">
        <v>17</v>
      </c>
      <c r="L423" t="str">
        <f t="shared" si="33"/>
        <v>Home Owner</v>
      </c>
      <c r="M423">
        <v>0</v>
      </c>
      <c r="N423" t="s">
        <v>29</v>
      </c>
      <c r="O423" t="s">
        <v>19</v>
      </c>
      <c r="P423">
        <v>51</v>
      </c>
      <c r="Q423" t="str">
        <f t="shared" si="34"/>
        <v>45 to 54 yrs</v>
      </c>
      <c r="R423" t="s">
        <v>20</v>
      </c>
    </row>
    <row r="424" spans="1:18">
      <c r="A424">
        <v>24901</v>
      </c>
      <c r="B424" t="s">
        <v>25</v>
      </c>
      <c r="C424" t="str">
        <f t="shared" si="30"/>
        <v>Single</v>
      </c>
      <c r="D424" t="s">
        <v>13</v>
      </c>
      <c r="E424" t="str">
        <f t="shared" si="31"/>
        <v>Male</v>
      </c>
      <c r="F424" s="3">
        <v>110000</v>
      </c>
      <c r="G424" s="3" t="str">
        <f t="shared" si="32"/>
        <v>Middle Class</v>
      </c>
      <c r="H424">
        <v>0</v>
      </c>
      <c r="I424" t="s">
        <v>21</v>
      </c>
      <c r="J424" t="s">
        <v>31</v>
      </c>
      <c r="K424" t="s">
        <v>20</v>
      </c>
      <c r="L424" t="str">
        <f t="shared" si="33"/>
        <v>Tenant</v>
      </c>
      <c r="M424">
        <v>3</v>
      </c>
      <c r="N424" t="s">
        <v>33</v>
      </c>
      <c r="O424" t="s">
        <v>27</v>
      </c>
      <c r="P424">
        <v>32</v>
      </c>
      <c r="Q424" t="str">
        <f t="shared" si="34"/>
        <v>25 to 34 yrs</v>
      </c>
      <c r="R424" t="s">
        <v>17</v>
      </c>
    </row>
    <row r="425" spans="1:18">
      <c r="A425">
        <v>27169</v>
      </c>
      <c r="B425" t="s">
        <v>25</v>
      </c>
      <c r="C425" t="str">
        <f t="shared" si="30"/>
        <v>Single</v>
      </c>
      <c r="D425" t="s">
        <v>13</v>
      </c>
      <c r="E425" t="str">
        <f t="shared" si="31"/>
        <v>Male</v>
      </c>
      <c r="F425" s="3">
        <v>30000</v>
      </c>
      <c r="G425" s="3" t="str">
        <f t="shared" si="32"/>
        <v>Lower Class</v>
      </c>
      <c r="H425">
        <v>0</v>
      </c>
      <c r="I425" t="s">
        <v>30</v>
      </c>
      <c r="J425" t="s">
        <v>28</v>
      </c>
      <c r="K425" t="s">
        <v>17</v>
      </c>
      <c r="L425" t="str">
        <f t="shared" si="33"/>
        <v>Home Owner</v>
      </c>
      <c r="M425">
        <v>1</v>
      </c>
      <c r="N425" t="s">
        <v>24</v>
      </c>
      <c r="O425" t="s">
        <v>19</v>
      </c>
      <c r="P425">
        <v>34</v>
      </c>
      <c r="Q425" t="str">
        <f t="shared" si="34"/>
        <v>25 to 34 yrs</v>
      </c>
      <c r="R425" t="s">
        <v>17</v>
      </c>
    </row>
    <row r="426" spans="1:18">
      <c r="A426">
        <v>14805</v>
      </c>
      <c r="B426" t="s">
        <v>25</v>
      </c>
      <c r="C426" t="str">
        <f t="shared" si="30"/>
        <v>Single</v>
      </c>
      <c r="D426" t="s">
        <v>14</v>
      </c>
      <c r="E426" t="str">
        <f t="shared" si="31"/>
        <v>Female</v>
      </c>
      <c r="F426" s="3">
        <v>10000</v>
      </c>
      <c r="G426" s="3" t="str">
        <f t="shared" si="32"/>
        <v>Lower Class</v>
      </c>
      <c r="H426">
        <v>3</v>
      </c>
      <c r="I426" t="s">
        <v>32</v>
      </c>
      <c r="J426" t="s">
        <v>28</v>
      </c>
      <c r="K426" t="s">
        <v>17</v>
      </c>
      <c r="L426" t="str">
        <f t="shared" si="33"/>
        <v>Home Owner</v>
      </c>
      <c r="M426">
        <v>2</v>
      </c>
      <c r="N426" t="s">
        <v>18</v>
      </c>
      <c r="O426" t="s">
        <v>19</v>
      </c>
      <c r="P426">
        <v>43</v>
      </c>
      <c r="Q426" t="str">
        <f t="shared" si="34"/>
        <v>35 to 44 yrs</v>
      </c>
      <c r="R426" t="s">
        <v>20</v>
      </c>
    </row>
    <row r="427" spans="1:18">
      <c r="A427">
        <v>15822</v>
      </c>
      <c r="B427" t="s">
        <v>13</v>
      </c>
      <c r="C427" t="str">
        <f t="shared" si="30"/>
        <v>Married</v>
      </c>
      <c r="D427" t="s">
        <v>13</v>
      </c>
      <c r="E427" t="str">
        <f t="shared" si="31"/>
        <v>Male</v>
      </c>
      <c r="F427" s="3">
        <v>40000</v>
      </c>
      <c r="G427" s="3" t="str">
        <f t="shared" si="32"/>
        <v>Lower Class</v>
      </c>
      <c r="H427">
        <v>2</v>
      </c>
      <c r="I427" t="s">
        <v>15</v>
      </c>
      <c r="J427" t="s">
        <v>31</v>
      </c>
      <c r="K427" t="s">
        <v>17</v>
      </c>
      <c r="L427" t="str">
        <f t="shared" si="33"/>
        <v>Home Owner</v>
      </c>
      <c r="M427">
        <v>2</v>
      </c>
      <c r="N427" t="s">
        <v>18</v>
      </c>
      <c r="O427" t="s">
        <v>27</v>
      </c>
      <c r="P427">
        <v>67</v>
      </c>
      <c r="Q427" t="str">
        <f t="shared" si="34"/>
        <v>65 yrs &amp; Above</v>
      </c>
      <c r="R427" t="s">
        <v>20</v>
      </c>
    </row>
    <row r="428" spans="1:18">
      <c r="A428">
        <v>19389</v>
      </c>
      <c r="B428" t="s">
        <v>25</v>
      </c>
      <c r="C428" t="str">
        <f t="shared" si="30"/>
        <v>Single</v>
      </c>
      <c r="D428" t="s">
        <v>13</v>
      </c>
      <c r="E428" t="str">
        <f t="shared" si="31"/>
        <v>Male</v>
      </c>
      <c r="F428" s="3">
        <v>30000</v>
      </c>
      <c r="G428" s="3" t="str">
        <f t="shared" si="32"/>
        <v>Lower Class</v>
      </c>
      <c r="H428">
        <v>0</v>
      </c>
      <c r="I428" t="s">
        <v>21</v>
      </c>
      <c r="J428" t="s">
        <v>22</v>
      </c>
      <c r="K428" t="s">
        <v>20</v>
      </c>
      <c r="L428" t="str">
        <f t="shared" si="33"/>
        <v>Tenant</v>
      </c>
      <c r="M428">
        <v>1</v>
      </c>
      <c r="N428" t="s">
        <v>24</v>
      </c>
      <c r="O428" t="s">
        <v>19</v>
      </c>
      <c r="P428">
        <v>28</v>
      </c>
      <c r="Q428" t="str">
        <f t="shared" si="34"/>
        <v>25 to 34 yrs</v>
      </c>
      <c r="R428" t="s">
        <v>20</v>
      </c>
    </row>
    <row r="429" spans="1:18">
      <c r="A429">
        <v>17048</v>
      </c>
      <c r="B429" t="s">
        <v>25</v>
      </c>
      <c r="C429" t="str">
        <f t="shared" si="30"/>
        <v>Single</v>
      </c>
      <c r="D429" t="s">
        <v>14</v>
      </c>
      <c r="E429" t="str">
        <f t="shared" si="31"/>
        <v>Female</v>
      </c>
      <c r="F429" s="3">
        <v>90000</v>
      </c>
      <c r="G429" s="3" t="str">
        <f t="shared" si="32"/>
        <v>Middle Class</v>
      </c>
      <c r="H429">
        <v>1</v>
      </c>
      <c r="I429" t="s">
        <v>34</v>
      </c>
      <c r="J429" t="s">
        <v>31</v>
      </c>
      <c r="K429" t="s">
        <v>17</v>
      </c>
      <c r="L429" t="str">
        <f t="shared" si="33"/>
        <v>Home Owner</v>
      </c>
      <c r="M429">
        <v>0</v>
      </c>
      <c r="N429" t="s">
        <v>18</v>
      </c>
      <c r="O429" t="s">
        <v>27</v>
      </c>
      <c r="P429">
        <v>36</v>
      </c>
      <c r="Q429" t="str">
        <f t="shared" si="34"/>
        <v>35 to 44 yrs</v>
      </c>
      <c r="R429" t="s">
        <v>17</v>
      </c>
    </row>
    <row r="430" spans="1:18">
      <c r="A430">
        <v>22204</v>
      </c>
      <c r="B430" t="s">
        <v>13</v>
      </c>
      <c r="C430" t="str">
        <f t="shared" si="30"/>
        <v>Married</v>
      </c>
      <c r="D430" t="s">
        <v>13</v>
      </c>
      <c r="E430" t="str">
        <f t="shared" si="31"/>
        <v>Male</v>
      </c>
      <c r="F430" s="3">
        <v>110000</v>
      </c>
      <c r="G430" s="3" t="str">
        <f t="shared" si="32"/>
        <v>Middle Class</v>
      </c>
      <c r="H430">
        <v>4</v>
      </c>
      <c r="I430" t="s">
        <v>15</v>
      </c>
      <c r="J430" t="s">
        <v>31</v>
      </c>
      <c r="K430" t="s">
        <v>17</v>
      </c>
      <c r="L430" t="str">
        <f t="shared" si="33"/>
        <v>Home Owner</v>
      </c>
      <c r="M430">
        <v>3</v>
      </c>
      <c r="N430" t="s">
        <v>24</v>
      </c>
      <c r="O430" t="s">
        <v>27</v>
      </c>
      <c r="P430">
        <v>48</v>
      </c>
      <c r="Q430" t="str">
        <f t="shared" si="34"/>
        <v>45 to 54 yrs</v>
      </c>
      <c r="R430" t="s">
        <v>20</v>
      </c>
    </row>
    <row r="431" spans="1:18">
      <c r="A431">
        <v>12718</v>
      </c>
      <c r="B431" t="s">
        <v>25</v>
      </c>
      <c r="C431" t="str">
        <f t="shared" si="30"/>
        <v>Single</v>
      </c>
      <c r="D431" t="s">
        <v>14</v>
      </c>
      <c r="E431" t="str">
        <f t="shared" si="31"/>
        <v>Female</v>
      </c>
      <c r="F431" s="3">
        <v>30000</v>
      </c>
      <c r="G431" s="3" t="str">
        <f t="shared" si="32"/>
        <v>Lower Class</v>
      </c>
      <c r="H431">
        <v>0</v>
      </c>
      <c r="I431" t="s">
        <v>21</v>
      </c>
      <c r="J431" t="s">
        <v>22</v>
      </c>
      <c r="K431" t="s">
        <v>17</v>
      </c>
      <c r="L431" t="str">
        <f t="shared" si="33"/>
        <v>Home Owner</v>
      </c>
      <c r="M431">
        <v>1</v>
      </c>
      <c r="N431" t="s">
        <v>24</v>
      </c>
      <c r="O431" t="s">
        <v>19</v>
      </c>
      <c r="P431">
        <v>31</v>
      </c>
      <c r="Q431" t="str">
        <f t="shared" si="34"/>
        <v>25 to 34 yrs</v>
      </c>
      <c r="R431" t="s">
        <v>20</v>
      </c>
    </row>
    <row r="432" spans="1:18">
      <c r="A432">
        <v>15019</v>
      </c>
      <c r="B432" t="s">
        <v>25</v>
      </c>
      <c r="C432" t="str">
        <f t="shared" si="30"/>
        <v>Single</v>
      </c>
      <c r="D432" t="s">
        <v>14</v>
      </c>
      <c r="E432" t="str">
        <f t="shared" si="31"/>
        <v>Female</v>
      </c>
      <c r="F432" s="3">
        <v>30000</v>
      </c>
      <c r="G432" s="3" t="str">
        <f t="shared" si="32"/>
        <v>Lower Class</v>
      </c>
      <c r="H432">
        <v>3</v>
      </c>
      <c r="I432" t="s">
        <v>30</v>
      </c>
      <c r="J432" t="s">
        <v>16</v>
      </c>
      <c r="K432" t="s">
        <v>17</v>
      </c>
      <c r="L432" t="str">
        <f t="shared" si="33"/>
        <v>Home Owner</v>
      </c>
      <c r="M432">
        <v>2</v>
      </c>
      <c r="N432" t="s">
        <v>26</v>
      </c>
      <c r="O432" t="s">
        <v>27</v>
      </c>
      <c r="P432">
        <v>55</v>
      </c>
      <c r="Q432" t="str">
        <f t="shared" si="34"/>
        <v>55 to 64 yrs</v>
      </c>
      <c r="R432" t="s">
        <v>20</v>
      </c>
    </row>
    <row r="433" spans="1:18">
      <c r="A433">
        <v>28488</v>
      </c>
      <c r="B433" t="s">
        <v>25</v>
      </c>
      <c r="C433" t="str">
        <f t="shared" si="30"/>
        <v>Single</v>
      </c>
      <c r="D433" t="s">
        <v>13</v>
      </c>
      <c r="E433" t="str">
        <f t="shared" si="31"/>
        <v>Male</v>
      </c>
      <c r="F433" s="3">
        <v>20000</v>
      </c>
      <c r="G433" s="3" t="str">
        <f t="shared" si="32"/>
        <v>Lower Class</v>
      </c>
      <c r="H433">
        <v>0</v>
      </c>
      <c r="I433" t="s">
        <v>21</v>
      </c>
      <c r="J433" t="s">
        <v>28</v>
      </c>
      <c r="K433" t="s">
        <v>17</v>
      </c>
      <c r="L433" t="str">
        <f t="shared" si="33"/>
        <v>Home Owner</v>
      </c>
      <c r="M433">
        <v>0</v>
      </c>
      <c r="N433" t="s">
        <v>18</v>
      </c>
      <c r="O433" t="s">
        <v>27</v>
      </c>
      <c r="P433">
        <v>28</v>
      </c>
      <c r="Q433" t="str">
        <f t="shared" si="34"/>
        <v>25 to 34 yrs</v>
      </c>
      <c r="R433" t="s">
        <v>17</v>
      </c>
    </row>
    <row r="434" spans="1:18">
      <c r="A434">
        <v>21891</v>
      </c>
      <c r="B434" t="s">
        <v>13</v>
      </c>
      <c r="C434" t="str">
        <f t="shared" si="30"/>
        <v>Married</v>
      </c>
      <c r="D434" t="s">
        <v>14</v>
      </c>
      <c r="E434" t="str">
        <f t="shared" si="31"/>
        <v>Female</v>
      </c>
      <c r="F434" s="3">
        <v>110000</v>
      </c>
      <c r="G434" s="3" t="str">
        <f t="shared" si="32"/>
        <v>Middle Class</v>
      </c>
      <c r="H434">
        <v>0</v>
      </c>
      <c r="I434" t="s">
        <v>30</v>
      </c>
      <c r="J434" t="s">
        <v>31</v>
      </c>
      <c r="K434" t="s">
        <v>17</v>
      </c>
      <c r="L434" t="str">
        <f t="shared" si="33"/>
        <v>Home Owner</v>
      </c>
      <c r="M434">
        <v>3</v>
      </c>
      <c r="N434" t="s">
        <v>33</v>
      </c>
      <c r="O434" t="s">
        <v>27</v>
      </c>
      <c r="P434">
        <v>34</v>
      </c>
      <c r="Q434" t="str">
        <f t="shared" si="34"/>
        <v>25 to 34 yrs</v>
      </c>
      <c r="R434" t="s">
        <v>17</v>
      </c>
    </row>
    <row r="435" spans="1:18">
      <c r="A435">
        <v>27814</v>
      </c>
      <c r="B435" t="s">
        <v>25</v>
      </c>
      <c r="C435" t="str">
        <f t="shared" si="30"/>
        <v>Single</v>
      </c>
      <c r="D435" t="s">
        <v>14</v>
      </c>
      <c r="E435" t="str">
        <f t="shared" si="31"/>
        <v>Female</v>
      </c>
      <c r="F435" s="3">
        <v>30000</v>
      </c>
      <c r="G435" s="3" t="str">
        <f t="shared" si="32"/>
        <v>Lower Class</v>
      </c>
      <c r="H435">
        <v>3</v>
      </c>
      <c r="I435" t="s">
        <v>21</v>
      </c>
      <c r="J435" t="s">
        <v>22</v>
      </c>
      <c r="K435" t="s">
        <v>20</v>
      </c>
      <c r="L435" t="str">
        <f t="shared" si="33"/>
        <v>Tenant</v>
      </c>
      <c r="M435">
        <v>1</v>
      </c>
      <c r="N435" t="s">
        <v>18</v>
      </c>
      <c r="O435" t="s">
        <v>19</v>
      </c>
      <c r="P435">
        <v>26</v>
      </c>
      <c r="Q435" t="str">
        <f t="shared" si="34"/>
        <v>25 to 34 yrs</v>
      </c>
      <c r="R435" t="s">
        <v>20</v>
      </c>
    </row>
    <row r="436" spans="1:18">
      <c r="A436">
        <v>22175</v>
      </c>
      <c r="B436" t="s">
        <v>13</v>
      </c>
      <c r="C436" t="str">
        <f t="shared" si="30"/>
        <v>Married</v>
      </c>
      <c r="D436" t="s">
        <v>14</v>
      </c>
      <c r="E436" t="str">
        <f t="shared" si="31"/>
        <v>Female</v>
      </c>
      <c r="F436" s="3">
        <v>30000</v>
      </c>
      <c r="G436" s="3" t="str">
        <f t="shared" si="32"/>
        <v>Lower Class</v>
      </c>
      <c r="H436">
        <v>3</v>
      </c>
      <c r="I436" t="s">
        <v>30</v>
      </c>
      <c r="J436" t="s">
        <v>16</v>
      </c>
      <c r="K436" t="s">
        <v>17</v>
      </c>
      <c r="L436" t="str">
        <f t="shared" si="33"/>
        <v>Home Owner</v>
      </c>
      <c r="M436">
        <v>2</v>
      </c>
      <c r="N436" t="s">
        <v>26</v>
      </c>
      <c r="O436" t="s">
        <v>27</v>
      </c>
      <c r="P436">
        <v>53</v>
      </c>
      <c r="Q436" t="str">
        <f t="shared" si="34"/>
        <v>45 to 54 yrs</v>
      </c>
      <c r="R436" t="s">
        <v>17</v>
      </c>
    </row>
    <row r="437" spans="1:18">
      <c r="A437">
        <v>29447</v>
      </c>
      <c r="B437" t="s">
        <v>25</v>
      </c>
      <c r="C437" t="str">
        <f t="shared" si="30"/>
        <v>Single</v>
      </c>
      <c r="D437" t="s">
        <v>14</v>
      </c>
      <c r="E437" t="str">
        <f t="shared" si="31"/>
        <v>Female</v>
      </c>
      <c r="F437" s="3">
        <v>10000</v>
      </c>
      <c r="G437" s="3" t="str">
        <f t="shared" si="32"/>
        <v>Lower Class</v>
      </c>
      <c r="H437">
        <v>2</v>
      </c>
      <c r="I437" t="s">
        <v>15</v>
      </c>
      <c r="J437" t="s">
        <v>22</v>
      </c>
      <c r="K437" t="s">
        <v>20</v>
      </c>
      <c r="L437" t="str">
        <f t="shared" si="33"/>
        <v>Tenant</v>
      </c>
      <c r="M437">
        <v>1</v>
      </c>
      <c r="N437" t="s">
        <v>24</v>
      </c>
      <c r="O437" t="s">
        <v>19</v>
      </c>
      <c r="P437">
        <v>68</v>
      </c>
      <c r="Q437" t="str">
        <f t="shared" si="34"/>
        <v>65 yrs &amp; Above</v>
      </c>
      <c r="R437" t="s">
        <v>20</v>
      </c>
    </row>
    <row r="438" spans="1:18">
      <c r="A438">
        <v>19784</v>
      </c>
      <c r="B438" t="s">
        <v>13</v>
      </c>
      <c r="C438" t="str">
        <f t="shared" si="30"/>
        <v>Married</v>
      </c>
      <c r="D438" t="s">
        <v>14</v>
      </c>
      <c r="E438" t="str">
        <f t="shared" si="31"/>
        <v>Female</v>
      </c>
      <c r="F438" s="3">
        <v>80000</v>
      </c>
      <c r="G438" s="3" t="str">
        <f t="shared" si="32"/>
        <v>Middle Class</v>
      </c>
      <c r="H438">
        <v>2</v>
      </c>
      <c r="I438" t="s">
        <v>30</v>
      </c>
      <c r="J438" t="s">
        <v>16</v>
      </c>
      <c r="K438" t="s">
        <v>17</v>
      </c>
      <c r="L438" t="str">
        <f t="shared" si="33"/>
        <v>Home Owner</v>
      </c>
      <c r="M438">
        <v>2</v>
      </c>
      <c r="N438" t="s">
        <v>26</v>
      </c>
      <c r="O438" t="s">
        <v>27</v>
      </c>
      <c r="P438">
        <v>50</v>
      </c>
      <c r="Q438" t="str">
        <f t="shared" si="34"/>
        <v>45 to 54 yrs</v>
      </c>
      <c r="R438" t="s">
        <v>17</v>
      </c>
    </row>
    <row r="439" spans="1:18">
      <c r="A439">
        <v>27824</v>
      </c>
      <c r="B439" t="s">
        <v>25</v>
      </c>
      <c r="C439" t="str">
        <f t="shared" si="30"/>
        <v>Single</v>
      </c>
      <c r="D439" t="s">
        <v>14</v>
      </c>
      <c r="E439" t="str">
        <f t="shared" si="31"/>
        <v>Female</v>
      </c>
      <c r="F439" s="3">
        <v>30000</v>
      </c>
      <c r="G439" s="3" t="str">
        <f t="shared" si="32"/>
        <v>Lower Class</v>
      </c>
      <c r="H439">
        <v>3</v>
      </c>
      <c r="I439" t="s">
        <v>21</v>
      </c>
      <c r="J439" t="s">
        <v>22</v>
      </c>
      <c r="K439" t="s">
        <v>17</v>
      </c>
      <c r="L439" t="str">
        <f t="shared" si="33"/>
        <v>Home Owner</v>
      </c>
      <c r="M439">
        <v>2</v>
      </c>
      <c r="N439" t="s">
        <v>18</v>
      </c>
      <c r="O439" t="s">
        <v>19</v>
      </c>
      <c r="P439">
        <v>28</v>
      </c>
      <c r="Q439" t="str">
        <f t="shared" si="34"/>
        <v>25 to 34 yrs</v>
      </c>
      <c r="R439" t="s">
        <v>17</v>
      </c>
    </row>
    <row r="440" spans="1:18">
      <c r="A440">
        <v>24093</v>
      </c>
      <c r="B440" t="s">
        <v>25</v>
      </c>
      <c r="C440" t="str">
        <f t="shared" si="30"/>
        <v>Single</v>
      </c>
      <c r="D440" t="s">
        <v>14</v>
      </c>
      <c r="E440" t="str">
        <f t="shared" si="31"/>
        <v>Female</v>
      </c>
      <c r="F440" s="3">
        <v>80000</v>
      </c>
      <c r="G440" s="3" t="str">
        <f t="shared" si="32"/>
        <v>Middle Class</v>
      </c>
      <c r="H440">
        <v>0</v>
      </c>
      <c r="I440" t="s">
        <v>34</v>
      </c>
      <c r="J440" t="s">
        <v>16</v>
      </c>
      <c r="K440" t="s">
        <v>20</v>
      </c>
      <c r="L440" t="str">
        <f t="shared" si="33"/>
        <v>Tenant</v>
      </c>
      <c r="M440">
        <v>0</v>
      </c>
      <c r="N440" t="s">
        <v>18</v>
      </c>
      <c r="O440" t="s">
        <v>19</v>
      </c>
      <c r="P440">
        <v>40</v>
      </c>
      <c r="Q440" t="str">
        <f t="shared" si="34"/>
        <v>35 to 44 yrs</v>
      </c>
      <c r="R440" t="s">
        <v>17</v>
      </c>
    </row>
    <row r="441" spans="1:18">
      <c r="A441">
        <v>19618</v>
      </c>
      <c r="B441" t="s">
        <v>13</v>
      </c>
      <c r="C441" t="str">
        <f t="shared" si="30"/>
        <v>Married</v>
      </c>
      <c r="D441" t="s">
        <v>13</v>
      </c>
      <c r="E441" t="str">
        <f t="shared" si="31"/>
        <v>Male</v>
      </c>
      <c r="F441" s="3">
        <v>70000</v>
      </c>
      <c r="G441" s="3" t="str">
        <f t="shared" si="32"/>
        <v>Middle Class</v>
      </c>
      <c r="H441">
        <v>5</v>
      </c>
      <c r="I441" t="s">
        <v>21</v>
      </c>
      <c r="J441" t="s">
        <v>16</v>
      </c>
      <c r="K441" t="s">
        <v>17</v>
      </c>
      <c r="L441" t="str">
        <f t="shared" si="33"/>
        <v>Home Owner</v>
      </c>
      <c r="M441">
        <v>2</v>
      </c>
      <c r="N441" t="s">
        <v>18</v>
      </c>
      <c r="O441" t="s">
        <v>27</v>
      </c>
      <c r="P441">
        <v>44</v>
      </c>
      <c r="Q441" t="str">
        <f t="shared" si="34"/>
        <v>35 to 44 yrs</v>
      </c>
      <c r="R441" t="s">
        <v>20</v>
      </c>
    </row>
    <row r="442" spans="1:18">
      <c r="A442">
        <v>21561</v>
      </c>
      <c r="B442" t="s">
        <v>25</v>
      </c>
      <c r="C442" t="str">
        <f t="shared" si="30"/>
        <v>Single</v>
      </c>
      <c r="D442" t="s">
        <v>13</v>
      </c>
      <c r="E442" t="str">
        <f t="shared" si="31"/>
        <v>Male</v>
      </c>
      <c r="F442" s="3">
        <v>90000</v>
      </c>
      <c r="G442" s="3" t="str">
        <f t="shared" si="32"/>
        <v>Middle Class</v>
      </c>
      <c r="H442">
        <v>0</v>
      </c>
      <c r="I442" t="s">
        <v>15</v>
      </c>
      <c r="J442" t="s">
        <v>23</v>
      </c>
      <c r="K442" t="s">
        <v>20</v>
      </c>
      <c r="L442" t="str">
        <f t="shared" si="33"/>
        <v>Tenant</v>
      </c>
      <c r="M442">
        <v>3</v>
      </c>
      <c r="N442" t="s">
        <v>33</v>
      </c>
      <c r="O442" t="s">
        <v>27</v>
      </c>
      <c r="P442">
        <v>34</v>
      </c>
      <c r="Q442" t="str">
        <f t="shared" si="34"/>
        <v>25 to 34 yrs</v>
      </c>
      <c r="R442" t="s">
        <v>17</v>
      </c>
    </row>
    <row r="443" spans="1:18">
      <c r="A443">
        <v>11061</v>
      </c>
      <c r="B443" t="s">
        <v>13</v>
      </c>
      <c r="C443" t="str">
        <f t="shared" si="30"/>
        <v>Married</v>
      </c>
      <c r="D443" t="s">
        <v>13</v>
      </c>
      <c r="E443" t="str">
        <f t="shared" si="31"/>
        <v>Male</v>
      </c>
      <c r="F443" s="3">
        <v>70000</v>
      </c>
      <c r="G443" s="3" t="str">
        <f t="shared" si="32"/>
        <v>Middle Class</v>
      </c>
      <c r="H443">
        <v>2</v>
      </c>
      <c r="I443" t="s">
        <v>21</v>
      </c>
      <c r="J443" t="s">
        <v>16</v>
      </c>
      <c r="K443" t="s">
        <v>17</v>
      </c>
      <c r="L443" t="str">
        <f t="shared" si="33"/>
        <v>Home Owner</v>
      </c>
      <c r="M443">
        <v>2</v>
      </c>
      <c r="N443" t="s">
        <v>26</v>
      </c>
      <c r="O443" t="s">
        <v>27</v>
      </c>
      <c r="P443">
        <v>52</v>
      </c>
      <c r="Q443" t="str">
        <f t="shared" si="34"/>
        <v>45 to 54 yrs</v>
      </c>
      <c r="R443" t="s">
        <v>17</v>
      </c>
    </row>
    <row r="444" spans="1:18">
      <c r="A444">
        <v>26651</v>
      </c>
      <c r="B444" t="s">
        <v>25</v>
      </c>
      <c r="C444" t="str">
        <f t="shared" si="30"/>
        <v>Single</v>
      </c>
      <c r="D444" t="s">
        <v>13</v>
      </c>
      <c r="E444" t="str">
        <f t="shared" si="31"/>
        <v>Male</v>
      </c>
      <c r="F444" s="3">
        <v>80000</v>
      </c>
      <c r="G444" s="3" t="str">
        <f t="shared" si="32"/>
        <v>Middle Class</v>
      </c>
      <c r="H444">
        <v>4</v>
      </c>
      <c r="I444" t="s">
        <v>34</v>
      </c>
      <c r="J444" t="s">
        <v>31</v>
      </c>
      <c r="K444" t="s">
        <v>17</v>
      </c>
      <c r="L444" t="str">
        <f t="shared" si="33"/>
        <v>Home Owner</v>
      </c>
      <c r="M444">
        <v>0</v>
      </c>
      <c r="N444" t="s">
        <v>18</v>
      </c>
      <c r="O444" t="s">
        <v>27</v>
      </c>
      <c r="P444">
        <v>36</v>
      </c>
      <c r="Q444" t="str">
        <f t="shared" si="34"/>
        <v>35 to 44 yrs</v>
      </c>
      <c r="R444" t="s">
        <v>17</v>
      </c>
    </row>
    <row r="445" spans="1:18">
      <c r="A445">
        <v>21108</v>
      </c>
      <c r="B445" t="s">
        <v>13</v>
      </c>
      <c r="C445" t="str">
        <f t="shared" si="30"/>
        <v>Married</v>
      </c>
      <c r="D445" t="s">
        <v>14</v>
      </c>
      <c r="E445" t="str">
        <f t="shared" si="31"/>
        <v>Female</v>
      </c>
      <c r="F445" s="3">
        <v>40000</v>
      </c>
      <c r="G445" s="3" t="str">
        <f t="shared" si="32"/>
        <v>Lower Class</v>
      </c>
      <c r="H445">
        <v>1</v>
      </c>
      <c r="I445" t="s">
        <v>15</v>
      </c>
      <c r="J445" t="s">
        <v>16</v>
      </c>
      <c r="K445" t="s">
        <v>17</v>
      </c>
      <c r="L445" t="str">
        <f t="shared" si="33"/>
        <v>Home Owner</v>
      </c>
      <c r="M445">
        <v>1</v>
      </c>
      <c r="N445" t="s">
        <v>18</v>
      </c>
      <c r="O445" t="s">
        <v>19</v>
      </c>
      <c r="P445">
        <v>43</v>
      </c>
      <c r="Q445" t="str">
        <f t="shared" si="34"/>
        <v>35 to 44 yrs</v>
      </c>
      <c r="R445" t="s">
        <v>17</v>
      </c>
    </row>
    <row r="446" spans="1:18">
      <c r="A446">
        <v>12731</v>
      </c>
      <c r="B446" t="s">
        <v>25</v>
      </c>
      <c r="C446" t="str">
        <f t="shared" si="30"/>
        <v>Single</v>
      </c>
      <c r="D446" t="s">
        <v>13</v>
      </c>
      <c r="E446" t="str">
        <f t="shared" si="31"/>
        <v>Male</v>
      </c>
      <c r="F446" s="3">
        <v>30000</v>
      </c>
      <c r="G446" s="3" t="str">
        <f t="shared" si="32"/>
        <v>Lower Class</v>
      </c>
      <c r="H446">
        <v>0</v>
      </c>
      <c r="I446" t="s">
        <v>30</v>
      </c>
      <c r="J446" t="s">
        <v>28</v>
      </c>
      <c r="K446" t="s">
        <v>20</v>
      </c>
      <c r="L446" t="str">
        <f t="shared" si="33"/>
        <v>Tenant</v>
      </c>
      <c r="M446">
        <v>1</v>
      </c>
      <c r="N446" t="s">
        <v>29</v>
      </c>
      <c r="O446" t="s">
        <v>19</v>
      </c>
      <c r="P446">
        <v>32</v>
      </c>
      <c r="Q446" t="str">
        <f t="shared" si="34"/>
        <v>25 to 34 yrs</v>
      </c>
      <c r="R446" t="s">
        <v>20</v>
      </c>
    </row>
    <row r="447" spans="1:18">
      <c r="A447">
        <v>25307</v>
      </c>
      <c r="B447" t="s">
        <v>13</v>
      </c>
      <c r="C447" t="str">
        <f t="shared" si="30"/>
        <v>Married</v>
      </c>
      <c r="D447" t="s">
        <v>14</v>
      </c>
      <c r="E447" t="str">
        <f t="shared" si="31"/>
        <v>Female</v>
      </c>
      <c r="F447" s="3">
        <v>40000</v>
      </c>
      <c r="G447" s="3" t="str">
        <f t="shared" si="32"/>
        <v>Lower Class</v>
      </c>
      <c r="H447">
        <v>1</v>
      </c>
      <c r="I447" t="s">
        <v>15</v>
      </c>
      <c r="J447" t="s">
        <v>16</v>
      </c>
      <c r="K447" t="s">
        <v>17</v>
      </c>
      <c r="L447" t="str">
        <f t="shared" si="33"/>
        <v>Home Owner</v>
      </c>
      <c r="M447">
        <v>1</v>
      </c>
      <c r="N447" t="s">
        <v>29</v>
      </c>
      <c r="O447" t="s">
        <v>19</v>
      </c>
      <c r="P447">
        <v>32</v>
      </c>
      <c r="Q447" t="str">
        <f t="shared" si="34"/>
        <v>25 to 34 yrs</v>
      </c>
      <c r="R447" t="s">
        <v>17</v>
      </c>
    </row>
    <row r="448" spans="1:18">
      <c r="A448">
        <v>14278</v>
      </c>
      <c r="B448" t="s">
        <v>13</v>
      </c>
      <c r="C448" t="str">
        <f t="shared" si="30"/>
        <v>Married</v>
      </c>
      <c r="D448" t="s">
        <v>14</v>
      </c>
      <c r="E448" t="str">
        <f t="shared" si="31"/>
        <v>Female</v>
      </c>
      <c r="F448" s="3">
        <v>130000</v>
      </c>
      <c r="G448" s="3" t="str">
        <f t="shared" si="32"/>
        <v>Upper Middle Class</v>
      </c>
      <c r="H448">
        <v>0</v>
      </c>
      <c r="I448" t="s">
        <v>34</v>
      </c>
      <c r="J448" t="s">
        <v>31</v>
      </c>
      <c r="K448" t="s">
        <v>17</v>
      </c>
      <c r="L448" t="str">
        <f t="shared" si="33"/>
        <v>Home Owner</v>
      </c>
      <c r="M448">
        <v>1</v>
      </c>
      <c r="N448" t="s">
        <v>33</v>
      </c>
      <c r="O448" t="s">
        <v>27</v>
      </c>
      <c r="P448">
        <v>48</v>
      </c>
      <c r="Q448" t="str">
        <f t="shared" si="34"/>
        <v>45 to 54 yrs</v>
      </c>
      <c r="R448" t="s">
        <v>20</v>
      </c>
    </row>
    <row r="449" spans="1:18">
      <c r="A449">
        <v>20711</v>
      </c>
      <c r="B449" t="s">
        <v>13</v>
      </c>
      <c r="C449" t="str">
        <f t="shared" si="30"/>
        <v>Married</v>
      </c>
      <c r="D449" t="s">
        <v>14</v>
      </c>
      <c r="E449" t="str">
        <f t="shared" si="31"/>
        <v>Female</v>
      </c>
      <c r="F449" s="3">
        <v>40000</v>
      </c>
      <c r="G449" s="3" t="str">
        <f t="shared" si="32"/>
        <v>Lower Class</v>
      </c>
      <c r="H449">
        <v>1</v>
      </c>
      <c r="I449" t="s">
        <v>15</v>
      </c>
      <c r="J449" t="s">
        <v>16</v>
      </c>
      <c r="K449" t="s">
        <v>17</v>
      </c>
      <c r="L449" t="str">
        <f t="shared" si="33"/>
        <v>Home Owner</v>
      </c>
      <c r="M449">
        <v>0</v>
      </c>
      <c r="N449" t="s">
        <v>29</v>
      </c>
      <c r="O449" t="s">
        <v>19</v>
      </c>
      <c r="P449">
        <v>32</v>
      </c>
      <c r="Q449" t="str">
        <f t="shared" si="34"/>
        <v>25 to 34 yrs</v>
      </c>
      <c r="R449" t="s">
        <v>17</v>
      </c>
    </row>
    <row r="450" spans="1:18">
      <c r="A450">
        <v>11383</v>
      </c>
      <c r="B450" t="s">
        <v>13</v>
      </c>
      <c r="C450" t="str">
        <f t="shared" si="30"/>
        <v>Married</v>
      </c>
      <c r="D450" t="s">
        <v>14</v>
      </c>
      <c r="E450" t="str">
        <f t="shared" si="31"/>
        <v>Female</v>
      </c>
      <c r="F450" s="3">
        <v>30000</v>
      </c>
      <c r="G450" s="3" t="str">
        <f t="shared" si="32"/>
        <v>Lower Class</v>
      </c>
      <c r="H450">
        <v>3</v>
      </c>
      <c r="I450" t="s">
        <v>34</v>
      </c>
      <c r="J450" t="s">
        <v>22</v>
      </c>
      <c r="K450" t="s">
        <v>17</v>
      </c>
      <c r="L450" t="str">
        <f t="shared" si="33"/>
        <v>Home Owner</v>
      </c>
      <c r="M450">
        <v>0</v>
      </c>
      <c r="N450" t="s">
        <v>18</v>
      </c>
      <c r="O450" t="s">
        <v>19</v>
      </c>
      <c r="P450">
        <v>46</v>
      </c>
      <c r="Q450" t="str">
        <f t="shared" si="34"/>
        <v>45 to 54 yrs</v>
      </c>
      <c r="R450" t="s">
        <v>20</v>
      </c>
    </row>
    <row r="451" spans="1:18">
      <c r="A451">
        <v>12497</v>
      </c>
      <c r="B451" t="s">
        <v>13</v>
      </c>
      <c r="C451" t="str">
        <f t="shared" ref="C451:C514" si="35">IF($B$2:$B$1001="M", "Married","Single")</f>
        <v>Married</v>
      </c>
      <c r="D451" t="s">
        <v>14</v>
      </c>
      <c r="E451" t="str">
        <f t="shared" ref="E451:E514" si="36">IF($D$2:$D$1001="F", "Female", "Male")</f>
        <v>Female</v>
      </c>
      <c r="F451" s="3">
        <v>40000</v>
      </c>
      <c r="G451" s="3" t="str">
        <f t="shared" ref="G451:G514" si="37">_xlfn.IFS(F451&lt;=57375,"Lower Class",F451&lt;=114750,"Middle Class",F451&lt;=253414,"Upper Middle Class",TRUE,"Upper Class")</f>
        <v>Lower Class</v>
      </c>
      <c r="H451">
        <v>1</v>
      </c>
      <c r="I451" t="s">
        <v>15</v>
      </c>
      <c r="J451" t="s">
        <v>16</v>
      </c>
      <c r="K451" t="s">
        <v>17</v>
      </c>
      <c r="L451" t="str">
        <f t="shared" ref="L451:L514" si="38">IF($K$2:$K$1001="Yes", "Home Owner","Tenant")</f>
        <v>Home Owner</v>
      </c>
      <c r="M451">
        <v>0</v>
      </c>
      <c r="N451" t="s">
        <v>18</v>
      </c>
      <c r="O451" t="s">
        <v>19</v>
      </c>
      <c r="P451">
        <v>42</v>
      </c>
      <c r="Q451" t="str">
        <f t="shared" ref="Q451:Q514" si="39">_xlfn.IFS(P451&lt;25,"Less than 25 yrs",P451&lt;35,"25 to 34 yrs",P451&lt;45,"35 to 44 yrs",P451&lt;55,"45 to 54 yrs",P451&lt;65,"55 to 64 yrs", TRUE, "65 yrs &amp; Above")</f>
        <v>35 to 44 yrs</v>
      </c>
      <c r="R451" t="s">
        <v>20</v>
      </c>
    </row>
    <row r="452" spans="1:18">
      <c r="A452">
        <v>16559</v>
      </c>
      <c r="B452" t="s">
        <v>25</v>
      </c>
      <c r="C452" t="str">
        <f t="shared" si="35"/>
        <v>Single</v>
      </c>
      <c r="D452" t="s">
        <v>14</v>
      </c>
      <c r="E452" t="str">
        <f t="shared" si="36"/>
        <v>Female</v>
      </c>
      <c r="F452" s="3">
        <v>10000</v>
      </c>
      <c r="G452" s="3" t="str">
        <f t="shared" si="37"/>
        <v>Lower Class</v>
      </c>
      <c r="H452">
        <v>2</v>
      </c>
      <c r="I452" t="s">
        <v>30</v>
      </c>
      <c r="J452" t="s">
        <v>28</v>
      </c>
      <c r="K452" t="s">
        <v>17</v>
      </c>
      <c r="L452" t="str">
        <f t="shared" si="38"/>
        <v>Home Owner</v>
      </c>
      <c r="M452">
        <v>0</v>
      </c>
      <c r="N452" t="s">
        <v>18</v>
      </c>
      <c r="O452" t="s">
        <v>19</v>
      </c>
      <c r="P452">
        <v>36</v>
      </c>
      <c r="Q452" t="str">
        <f t="shared" si="39"/>
        <v>35 to 44 yrs</v>
      </c>
      <c r="R452" t="s">
        <v>17</v>
      </c>
    </row>
    <row r="453" spans="1:18">
      <c r="A453">
        <v>11585</v>
      </c>
      <c r="B453" t="s">
        <v>13</v>
      </c>
      <c r="C453" t="str">
        <f t="shared" si="35"/>
        <v>Married</v>
      </c>
      <c r="D453" t="s">
        <v>14</v>
      </c>
      <c r="E453" t="str">
        <f t="shared" si="36"/>
        <v>Female</v>
      </c>
      <c r="F453" s="3">
        <v>40000</v>
      </c>
      <c r="G453" s="3" t="str">
        <f t="shared" si="37"/>
        <v>Lower Class</v>
      </c>
      <c r="H453">
        <v>1</v>
      </c>
      <c r="I453" t="s">
        <v>15</v>
      </c>
      <c r="J453" t="s">
        <v>16</v>
      </c>
      <c r="K453" t="s">
        <v>17</v>
      </c>
      <c r="L453" t="str">
        <f t="shared" si="38"/>
        <v>Home Owner</v>
      </c>
      <c r="M453">
        <v>0</v>
      </c>
      <c r="N453" t="s">
        <v>18</v>
      </c>
      <c r="O453" t="s">
        <v>19</v>
      </c>
      <c r="P453">
        <v>41</v>
      </c>
      <c r="Q453" t="str">
        <f t="shared" si="39"/>
        <v>35 to 44 yrs</v>
      </c>
      <c r="R453" t="s">
        <v>20</v>
      </c>
    </row>
    <row r="454" spans="1:18">
      <c r="A454">
        <v>20277</v>
      </c>
      <c r="B454" t="s">
        <v>13</v>
      </c>
      <c r="C454" t="str">
        <f t="shared" si="35"/>
        <v>Married</v>
      </c>
      <c r="D454" t="s">
        <v>14</v>
      </c>
      <c r="E454" t="str">
        <f t="shared" si="36"/>
        <v>Female</v>
      </c>
      <c r="F454" s="3">
        <v>30000</v>
      </c>
      <c r="G454" s="3" t="str">
        <f t="shared" si="37"/>
        <v>Lower Class</v>
      </c>
      <c r="H454">
        <v>2</v>
      </c>
      <c r="I454" t="s">
        <v>21</v>
      </c>
      <c r="J454" t="s">
        <v>22</v>
      </c>
      <c r="K454" t="s">
        <v>20</v>
      </c>
      <c r="L454" t="str">
        <f t="shared" si="38"/>
        <v>Tenant</v>
      </c>
      <c r="M454">
        <v>2</v>
      </c>
      <c r="N454" t="s">
        <v>18</v>
      </c>
      <c r="O454" t="s">
        <v>27</v>
      </c>
      <c r="P454">
        <v>69</v>
      </c>
      <c r="Q454" t="str">
        <f t="shared" si="39"/>
        <v>65 yrs &amp; Above</v>
      </c>
      <c r="R454" t="s">
        <v>20</v>
      </c>
    </row>
    <row r="455" spans="1:18">
      <c r="A455">
        <v>26765</v>
      </c>
      <c r="B455" t="s">
        <v>25</v>
      </c>
      <c r="C455" t="str">
        <f t="shared" si="35"/>
        <v>Single</v>
      </c>
      <c r="D455" t="s">
        <v>14</v>
      </c>
      <c r="E455" t="str">
        <f t="shared" si="36"/>
        <v>Female</v>
      </c>
      <c r="F455" s="3">
        <v>70000</v>
      </c>
      <c r="G455" s="3" t="str">
        <f t="shared" si="37"/>
        <v>Middle Class</v>
      </c>
      <c r="H455">
        <v>5</v>
      </c>
      <c r="I455" t="s">
        <v>21</v>
      </c>
      <c r="J455" t="s">
        <v>16</v>
      </c>
      <c r="K455" t="s">
        <v>17</v>
      </c>
      <c r="L455" t="str">
        <f t="shared" si="38"/>
        <v>Home Owner</v>
      </c>
      <c r="M455">
        <v>2</v>
      </c>
      <c r="N455" t="s">
        <v>26</v>
      </c>
      <c r="O455" t="s">
        <v>27</v>
      </c>
      <c r="P455">
        <v>45</v>
      </c>
      <c r="Q455" t="str">
        <f t="shared" si="39"/>
        <v>45 to 54 yrs</v>
      </c>
      <c r="R455" t="s">
        <v>20</v>
      </c>
    </row>
    <row r="456" spans="1:18">
      <c r="A456">
        <v>12389</v>
      </c>
      <c r="B456" t="s">
        <v>25</v>
      </c>
      <c r="C456" t="str">
        <f t="shared" si="35"/>
        <v>Single</v>
      </c>
      <c r="D456" t="s">
        <v>13</v>
      </c>
      <c r="E456" t="str">
        <f t="shared" si="36"/>
        <v>Male</v>
      </c>
      <c r="F456" s="3">
        <v>30000</v>
      </c>
      <c r="G456" s="3" t="str">
        <f t="shared" si="37"/>
        <v>Lower Class</v>
      </c>
      <c r="H456">
        <v>0</v>
      </c>
      <c r="I456" t="s">
        <v>30</v>
      </c>
      <c r="J456" t="s">
        <v>28</v>
      </c>
      <c r="K456" t="s">
        <v>20</v>
      </c>
      <c r="L456" t="str">
        <f t="shared" si="38"/>
        <v>Tenant</v>
      </c>
      <c r="M456">
        <v>1</v>
      </c>
      <c r="N456" t="s">
        <v>24</v>
      </c>
      <c r="O456" t="s">
        <v>19</v>
      </c>
      <c r="P456">
        <v>34</v>
      </c>
      <c r="Q456" t="str">
        <f t="shared" si="39"/>
        <v>25 to 34 yrs</v>
      </c>
      <c r="R456" t="s">
        <v>20</v>
      </c>
    </row>
    <row r="457" spans="1:18">
      <c r="A457">
        <v>13585</v>
      </c>
      <c r="B457" t="s">
        <v>13</v>
      </c>
      <c r="C457" t="str">
        <f t="shared" si="35"/>
        <v>Married</v>
      </c>
      <c r="D457" t="s">
        <v>14</v>
      </c>
      <c r="E457" t="str">
        <f t="shared" si="36"/>
        <v>Female</v>
      </c>
      <c r="F457" s="3">
        <v>80000</v>
      </c>
      <c r="G457" s="3" t="str">
        <f t="shared" si="37"/>
        <v>Middle Class</v>
      </c>
      <c r="H457">
        <v>4</v>
      </c>
      <c r="I457" t="s">
        <v>21</v>
      </c>
      <c r="J457" t="s">
        <v>23</v>
      </c>
      <c r="K457" t="s">
        <v>20</v>
      </c>
      <c r="L457" t="str">
        <f t="shared" si="38"/>
        <v>Tenant</v>
      </c>
      <c r="M457">
        <v>1</v>
      </c>
      <c r="N457" t="s">
        <v>24</v>
      </c>
      <c r="O457" t="s">
        <v>19</v>
      </c>
      <c r="P457">
        <v>53</v>
      </c>
      <c r="Q457" t="str">
        <f t="shared" si="39"/>
        <v>45 to 54 yrs</v>
      </c>
      <c r="R457" t="s">
        <v>17</v>
      </c>
    </row>
    <row r="458" spans="1:18">
      <c r="A458">
        <v>26385</v>
      </c>
      <c r="B458" t="s">
        <v>25</v>
      </c>
      <c r="C458" t="str">
        <f t="shared" si="35"/>
        <v>Single</v>
      </c>
      <c r="D458" t="s">
        <v>13</v>
      </c>
      <c r="E458" t="str">
        <f t="shared" si="36"/>
        <v>Male</v>
      </c>
      <c r="F458" s="3">
        <v>120000</v>
      </c>
      <c r="G458" s="3" t="str">
        <f t="shared" si="37"/>
        <v>Upper Middle Class</v>
      </c>
      <c r="H458">
        <v>3</v>
      </c>
      <c r="I458" t="s">
        <v>30</v>
      </c>
      <c r="J458" t="s">
        <v>23</v>
      </c>
      <c r="K458" t="s">
        <v>20</v>
      </c>
      <c r="L458" t="str">
        <f t="shared" si="38"/>
        <v>Tenant</v>
      </c>
      <c r="M458">
        <v>4</v>
      </c>
      <c r="N458" t="s">
        <v>26</v>
      </c>
      <c r="O458" t="s">
        <v>19</v>
      </c>
      <c r="P458">
        <v>50</v>
      </c>
      <c r="Q458" t="str">
        <f t="shared" si="39"/>
        <v>45 to 54 yrs</v>
      </c>
      <c r="R458" t="s">
        <v>20</v>
      </c>
    </row>
    <row r="459" spans="1:18">
      <c r="A459">
        <v>12236</v>
      </c>
      <c r="B459" t="s">
        <v>13</v>
      </c>
      <c r="C459" t="str">
        <f t="shared" si="35"/>
        <v>Married</v>
      </c>
      <c r="D459" t="s">
        <v>14</v>
      </c>
      <c r="E459" t="str">
        <f t="shared" si="36"/>
        <v>Female</v>
      </c>
      <c r="F459" s="3">
        <v>20000</v>
      </c>
      <c r="G459" s="3" t="str">
        <f t="shared" si="37"/>
        <v>Lower Class</v>
      </c>
      <c r="H459">
        <v>1</v>
      </c>
      <c r="I459" t="s">
        <v>21</v>
      </c>
      <c r="J459" t="s">
        <v>28</v>
      </c>
      <c r="K459" t="s">
        <v>17</v>
      </c>
      <c r="L459" t="str">
        <f t="shared" si="38"/>
        <v>Home Owner</v>
      </c>
      <c r="M459">
        <v>0</v>
      </c>
      <c r="N459" t="s">
        <v>18</v>
      </c>
      <c r="O459" t="s">
        <v>19</v>
      </c>
      <c r="P459">
        <v>65</v>
      </c>
      <c r="Q459" t="str">
        <f t="shared" si="39"/>
        <v>65 yrs &amp; Above</v>
      </c>
      <c r="R459" t="s">
        <v>20</v>
      </c>
    </row>
    <row r="460" spans="1:18">
      <c r="A460">
        <v>21560</v>
      </c>
      <c r="B460" t="s">
        <v>13</v>
      </c>
      <c r="C460" t="str">
        <f t="shared" si="35"/>
        <v>Married</v>
      </c>
      <c r="D460" t="s">
        <v>13</v>
      </c>
      <c r="E460" t="str">
        <f t="shared" si="36"/>
        <v>Male</v>
      </c>
      <c r="F460" s="3">
        <v>120000</v>
      </c>
      <c r="G460" s="3" t="str">
        <f t="shared" si="37"/>
        <v>Upper Middle Class</v>
      </c>
      <c r="H460">
        <v>0</v>
      </c>
      <c r="I460" t="s">
        <v>32</v>
      </c>
      <c r="J460" t="s">
        <v>23</v>
      </c>
      <c r="K460" t="s">
        <v>17</v>
      </c>
      <c r="L460" t="str">
        <f t="shared" si="38"/>
        <v>Home Owner</v>
      </c>
      <c r="M460">
        <v>4</v>
      </c>
      <c r="N460" t="s">
        <v>33</v>
      </c>
      <c r="O460" t="s">
        <v>27</v>
      </c>
      <c r="P460">
        <v>32</v>
      </c>
      <c r="Q460" t="str">
        <f t="shared" si="39"/>
        <v>25 to 34 yrs</v>
      </c>
      <c r="R460" t="s">
        <v>17</v>
      </c>
    </row>
    <row r="461" spans="1:18">
      <c r="A461">
        <v>21554</v>
      </c>
      <c r="B461" t="s">
        <v>25</v>
      </c>
      <c r="C461" t="str">
        <f t="shared" si="35"/>
        <v>Single</v>
      </c>
      <c r="D461" t="s">
        <v>14</v>
      </c>
      <c r="E461" t="str">
        <f t="shared" si="36"/>
        <v>Female</v>
      </c>
      <c r="F461" s="3">
        <v>80000</v>
      </c>
      <c r="G461" s="3" t="str">
        <f t="shared" si="37"/>
        <v>Middle Class</v>
      </c>
      <c r="H461">
        <v>0</v>
      </c>
      <c r="I461" t="s">
        <v>15</v>
      </c>
      <c r="J461" t="s">
        <v>23</v>
      </c>
      <c r="K461" t="s">
        <v>20</v>
      </c>
      <c r="L461" t="str">
        <f t="shared" si="38"/>
        <v>Tenant</v>
      </c>
      <c r="M461">
        <v>3</v>
      </c>
      <c r="N461" t="s">
        <v>33</v>
      </c>
      <c r="O461" t="s">
        <v>27</v>
      </c>
      <c r="P461">
        <v>33</v>
      </c>
      <c r="Q461" t="str">
        <f t="shared" si="39"/>
        <v>25 to 34 yrs</v>
      </c>
      <c r="R461" t="s">
        <v>20</v>
      </c>
    </row>
    <row r="462" spans="1:18">
      <c r="A462">
        <v>13662</v>
      </c>
      <c r="B462" t="s">
        <v>25</v>
      </c>
      <c r="C462" t="str">
        <f t="shared" si="35"/>
        <v>Single</v>
      </c>
      <c r="D462" t="s">
        <v>13</v>
      </c>
      <c r="E462" t="str">
        <f t="shared" si="36"/>
        <v>Male</v>
      </c>
      <c r="F462" s="3">
        <v>20000</v>
      </c>
      <c r="G462" s="3" t="str">
        <f t="shared" si="37"/>
        <v>Lower Class</v>
      </c>
      <c r="H462">
        <v>0</v>
      </c>
      <c r="I462" t="s">
        <v>32</v>
      </c>
      <c r="J462" t="s">
        <v>28</v>
      </c>
      <c r="K462" t="s">
        <v>17</v>
      </c>
      <c r="L462" t="str">
        <f t="shared" si="38"/>
        <v>Home Owner</v>
      </c>
      <c r="M462">
        <v>2</v>
      </c>
      <c r="N462" t="s">
        <v>29</v>
      </c>
      <c r="O462" t="s">
        <v>19</v>
      </c>
      <c r="P462">
        <v>31</v>
      </c>
      <c r="Q462" t="str">
        <f t="shared" si="39"/>
        <v>25 to 34 yrs</v>
      </c>
      <c r="R462" t="s">
        <v>17</v>
      </c>
    </row>
    <row r="463" spans="1:18">
      <c r="A463">
        <v>13089</v>
      </c>
      <c r="B463" t="s">
        <v>13</v>
      </c>
      <c r="C463" t="str">
        <f t="shared" si="35"/>
        <v>Married</v>
      </c>
      <c r="D463" t="s">
        <v>14</v>
      </c>
      <c r="E463" t="str">
        <f t="shared" si="36"/>
        <v>Female</v>
      </c>
      <c r="F463" s="3">
        <v>120000</v>
      </c>
      <c r="G463" s="3" t="str">
        <f t="shared" si="37"/>
        <v>Upper Middle Class</v>
      </c>
      <c r="H463">
        <v>1</v>
      </c>
      <c r="I463" t="s">
        <v>15</v>
      </c>
      <c r="J463" t="s">
        <v>31</v>
      </c>
      <c r="K463" t="s">
        <v>17</v>
      </c>
      <c r="L463" t="str">
        <f t="shared" si="38"/>
        <v>Home Owner</v>
      </c>
      <c r="M463">
        <v>2</v>
      </c>
      <c r="N463" t="s">
        <v>18</v>
      </c>
      <c r="O463" t="s">
        <v>27</v>
      </c>
      <c r="P463">
        <v>46</v>
      </c>
      <c r="Q463" t="str">
        <f t="shared" si="39"/>
        <v>45 to 54 yrs</v>
      </c>
      <c r="R463" t="s">
        <v>17</v>
      </c>
    </row>
    <row r="464" spans="1:18">
      <c r="A464">
        <v>14791</v>
      </c>
      <c r="B464" t="s">
        <v>13</v>
      </c>
      <c r="C464" t="str">
        <f t="shared" si="35"/>
        <v>Married</v>
      </c>
      <c r="D464" t="s">
        <v>14</v>
      </c>
      <c r="E464" t="str">
        <f t="shared" si="36"/>
        <v>Female</v>
      </c>
      <c r="F464" s="3">
        <v>40000</v>
      </c>
      <c r="G464" s="3" t="str">
        <f t="shared" si="37"/>
        <v>Lower Class</v>
      </c>
      <c r="H464">
        <v>0</v>
      </c>
      <c r="I464" t="s">
        <v>15</v>
      </c>
      <c r="J464" t="s">
        <v>22</v>
      </c>
      <c r="K464" t="s">
        <v>17</v>
      </c>
      <c r="L464" t="str">
        <f t="shared" si="38"/>
        <v>Home Owner</v>
      </c>
      <c r="M464">
        <v>0</v>
      </c>
      <c r="N464" t="s">
        <v>18</v>
      </c>
      <c r="O464" t="s">
        <v>19</v>
      </c>
      <c r="P464">
        <v>39</v>
      </c>
      <c r="Q464" t="str">
        <f t="shared" si="39"/>
        <v>35 to 44 yrs</v>
      </c>
      <c r="R464" t="s">
        <v>17</v>
      </c>
    </row>
    <row r="465" spans="1:18">
      <c r="A465">
        <v>19331</v>
      </c>
      <c r="B465" t="s">
        <v>25</v>
      </c>
      <c r="C465" t="str">
        <f t="shared" si="35"/>
        <v>Single</v>
      </c>
      <c r="D465" t="s">
        <v>13</v>
      </c>
      <c r="E465" t="str">
        <f t="shared" si="36"/>
        <v>Male</v>
      </c>
      <c r="F465" s="3">
        <v>20000</v>
      </c>
      <c r="G465" s="3" t="str">
        <f t="shared" si="37"/>
        <v>Lower Class</v>
      </c>
      <c r="H465">
        <v>2</v>
      </c>
      <c r="I465" t="s">
        <v>30</v>
      </c>
      <c r="J465" t="s">
        <v>28</v>
      </c>
      <c r="K465" t="s">
        <v>17</v>
      </c>
      <c r="L465" t="str">
        <f t="shared" si="38"/>
        <v>Home Owner</v>
      </c>
      <c r="M465">
        <v>1</v>
      </c>
      <c r="N465" t="s">
        <v>18</v>
      </c>
      <c r="O465" t="s">
        <v>19</v>
      </c>
      <c r="P465">
        <v>40</v>
      </c>
      <c r="Q465" t="str">
        <f t="shared" si="39"/>
        <v>35 to 44 yrs</v>
      </c>
      <c r="R465" t="s">
        <v>20</v>
      </c>
    </row>
    <row r="466" spans="1:18">
      <c r="A466">
        <v>17754</v>
      </c>
      <c r="B466" t="s">
        <v>25</v>
      </c>
      <c r="C466" t="str">
        <f t="shared" si="35"/>
        <v>Single</v>
      </c>
      <c r="D466" t="s">
        <v>14</v>
      </c>
      <c r="E466" t="str">
        <f t="shared" si="36"/>
        <v>Female</v>
      </c>
      <c r="F466" s="3">
        <v>30000</v>
      </c>
      <c r="G466" s="3" t="str">
        <f t="shared" si="37"/>
        <v>Lower Class</v>
      </c>
      <c r="H466">
        <v>3</v>
      </c>
      <c r="I466" t="s">
        <v>15</v>
      </c>
      <c r="J466" t="s">
        <v>22</v>
      </c>
      <c r="K466" t="s">
        <v>17</v>
      </c>
      <c r="L466" t="str">
        <f t="shared" si="38"/>
        <v>Home Owner</v>
      </c>
      <c r="M466">
        <v>0</v>
      </c>
      <c r="N466" t="s">
        <v>18</v>
      </c>
      <c r="O466" t="s">
        <v>19</v>
      </c>
      <c r="P466">
        <v>46</v>
      </c>
      <c r="Q466" t="str">
        <f t="shared" si="39"/>
        <v>45 to 54 yrs</v>
      </c>
      <c r="R466" t="s">
        <v>17</v>
      </c>
    </row>
    <row r="467" spans="1:18">
      <c r="A467">
        <v>11149</v>
      </c>
      <c r="B467" t="s">
        <v>13</v>
      </c>
      <c r="C467" t="str">
        <f t="shared" si="35"/>
        <v>Married</v>
      </c>
      <c r="D467" t="s">
        <v>13</v>
      </c>
      <c r="E467" t="str">
        <f t="shared" si="36"/>
        <v>Male</v>
      </c>
      <c r="F467" s="3">
        <v>40000</v>
      </c>
      <c r="G467" s="3" t="str">
        <f t="shared" si="37"/>
        <v>Lower Class</v>
      </c>
      <c r="H467">
        <v>2</v>
      </c>
      <c r="I467" t="s">
        <v>15</v>
      </c>
      <c r="J467" t="s">
        <v>31</v>
      </c>
      <c r="K467" t="s">
        <v>17</v>
      </c>
      <c r="L467" t="str">
        <f t="shared" si="38"/>
        <v>Home Owner</v>
      </c>
      <c r="M467">
        <v>2</v>
      </c>
      <c r="N467" t="s">
        <v>18</v>
      </c>
      <c r="O467" t="s">
        <v>27</v>
      </c>
      <c r="P467">
        <v>65</v>
      </c>
      <c r="Q467" t="str">
        <f t="shared" si="39"/>
        <v>65 yrs &amp; Above</v>
      </c>
      <c r="R467" t="s">
        <v>20</v>
      </c>
    </row>
    <row r="468" spans="1:18">
      <c r="A468">
        <v>16549</v>
      </c>
      <c r="B468" t="s">
        <v>25</v>
      </c>
      <c r="C468" t="str">
        <f t="shared" si="35"/>
        <v>Single</v>
      </c>
      <c r="D468" t="s">
        <v>14</v>
      </c>
      <c r="E468" t="str">
        <f t="shared" si="36"/>
        <v>Female</v>
      </c>
      <c r="F468" s="3">
        <v>30000</v>
      </c>
      <c r="G468" s="3" t="str">
        <f t="shared" si="37"/>
        <v>Lower Class</v>
      </c>
      <c r="H468">
        <v>3</v>
      </c>
      <c r="I468" t="s">
        <v>15</v>
      </c>
      <c r="J468" t="s">
        <v>22</v>
      </c>
      <c r="K468" t="s">
        <v>17</v>
      </c>
      <c r="L468" t="str">
        <f t="shared" si="38"/>
        <v>Home Owner</v>
      </c>
      <c r="M468">
        <v>0</v>
      </c>
      <c r="N468" t="s">
        <v>18</v>
      </c>
      <c r="O468" t="s">
        <v>19</v>
      </c>
      <c r="P468">
        <v>47</v>
      </c>
      <c r="Q468" t="str">
        <f t="shared" si="39"/>
        <v>45 to 54 yrs</v>
      </c>
      <c r="R468" t="s">
        <v>17</v>
      </c>
    </row>
    <row r="469" spans="1:18">
      <c r="A469">
        <v>24305</v>
      </c>
      <c r="B469" t="s">
        <v>25</v>
      </c>
      <c r="C469" t="str">
        <f t="shared" si="35"/>
        <v>Single</v>
      </c>
      <c r="D469" t="s">
        <v>13</v>
      </c>
      <c r="E469" t="str">
        <f t="shared" si="36"/>
        <v>Male</v>
      </c>
      <c r="F469" s="3">
        <v>100000</v>
      </c>
      <c r="G469" s="3" t="str">
        <f t="shared" si="37"/>
        <v>Middle Class</v>
      </c>
      <c r="H469">
        <v>1</v>
      </c>
      <c r="I469" t="s">
        <v>15</v>
      </c>
      <c r="J469" t="s">
        <v>31</v>
      </c>
      <c r="K469" t="s">
        <v>20</v>
      </c>
      <c r="L469" t="str">
        <f t="shared" si="38"/>
        <v>Tenant</v>
      </c>
      <c r="M469">
        <v>3</v>
      </c>
      <c r="N469" t="s">
        <v>18</v>
      </c>
      <c r="O469" t="s">
        <v>27</v>
      </c>
      <c r="P469">
        <v>46</v>
      </c>
      <c r="Q469" t="str">
        <f t="shared" si="39"/>
        <v>45 to 54 yrs</v>
      </c>
      <c r="R469" t="s">
        <v>17</v>
      </c>
    </row>
    <row r="470" spans="1:18">
      <c r="A470">
        <v>18253</v>
      </c>
      <c r="B470" t="s">
        <v>13</v>
      </c>
      <c r="C470" t="str">
        <f t="shared" si="35"/>
        <v>Married</v>
      </c>
      <c r="D470" t="s">
        <v>14</v>
      </c>
      <c r="E470" t="str">
        <f t="shared" si="36"/>
        <v>Female</v>
      </c>
      <c r="F470" s="3">
        <v>80000</v>
      </c>
      <c r="G470" s="3" t="str">
        <f t="shared" si="37"/>
        <v>Middle Class</v>
      </c>
      <c r="H470">
        <v>5</v>
      </c>
      <c r="I470" t="s">
        <v>34</v>
      </c>
      <c r="J470" t="s">
        <v>31</v>
      </c>
      <c r="K470" t="s">
        <v>17</v>
      </c>
      <c r="L470" t="str">
        <f t="shared" si="38"/>
        <v>Home Owner</v>
      </c>
      <c r="M470">
        <v>3</v>
      </c>
      <c r="N470" t="s">
        <v>18</v>
      </c>
      <c r="O470" t="s">
        <v>27</v>
      </c>
      <c r="P470">
        <v>40</v>
      </c>
      <c r="Q470" t="str">
        <f t="shared" si="39"/>
        <v>35 to 44 yrs</v>
      </c>
      <c r="R470" t="s">
        <v>20</v>
      </c>
    </row>
    <row r="471" spans="1:18">
      <c r="A471">
        <v>20147</v>
      </c>
      <c r="B471" t="s">
        <v>13</v>
      </c>
      <c r="C471" t="str">
        <f t="shared" si="35"/>
        <v>Married</v>
      </c>
      <c r="D471" t="s">
        <v>14</v>
      </c>
      <c r="E471" t="str">
        <f t="shared" si="36"/>
        <v>Female</v>
      </c>
      <c r="F471" s="3">
        <v>30000</v>
      </c>
      <c r="G471" s="3" t="str">
        <f t="shared" si="37"/>
        <v>Lower Class</v>
      </c>
      <c r="H471">
        <v>1</v>
      </c>
      <c r="I471" t="s">
        <v>15</v>
      </c>
      <c r="J471" t="s">
        <v>22</v>
      </c>
      <c r="K471" t="s">
        <v>17</v>
      </c>
      <c r="L471" t="str">
        <f t="shared" si="38"/>
        <v>Home Owner</v>
      </c>
      <c r="M471">
        <v>0</v>
      </c>
      <c r="N471" t="s">
        <v>18</v>
      </c>
      <c r="O471" t="s">
        <v>19</v>
      </c>
      <c r="P471">
        <v>65</v>
      </c>
      <c r="Q471" t="str">
        <f t="shared" si="39"/>
        <v>65 yrs &amp; Above</v>
      </c>
      <c r="R471" t="s">
        <v>20</v>
      </c>
    </row>
    <row r="472" spans="1:18">
      <c r="A472">
        <v>15612</v>
      </c>
      <c r="B472" t="s">
        <v>25</v>
      </c>
      <c r="C472" t="str">
        <f t="shared" si="35"/>
        <v>Single</v>
      </c>
      <c r="D472" t="s">
        <v>13</v>
      </c>
      <c r="E472" t="str">
        <f t="shared" si="36"/>
        <v>Male</v>
      </c>
      <c r="F472" s="3">
        <v>30000</v>
      </c>
      <c r="G472" s="3" t="str">
        <f t="shared" si="37"/>
        <v>Lower Class</v>
      </c>
      <c r="H472">
        <v>0</v>
      </c>
      <c r="I472" t="s">
        <v>30</v>
      </c>
      <c r="J472" t="s">
        <v>28</v>
      </c>
      <c r="K472" t="s">
        <v>20</v>
      </c>
      <c r="L472" t="str">
        <f t="shared" si="38"/>
        <v>Tenant</v>
      </c>
      <c r="M472">
        <v>1</v>
      </c>
      <c r="N472" t="s">
        <v>29</v>
      </c>
      <c r="O472" t="s">
        <v>19</v>
      </c>
      <c r="P472">
        <v>28</v>
      </c>
      <c r="Q472" t="str">
        <f t="shared" si="39"/>
        <v>25 to 34 yrs</v>
      </c>
      <c r="R472" t="s">
        <v>20</v>
      </c>
    </row>
    <row r="473" spans="1:18">
      <c r="A473">
        <v>28323</v>
      </c>
      <c r="B473" t="s">
        <v>25</v>
      </c>
      <c r="C473" t="str">
        <f t="shared" si="35"/>
        <v>Single</v>
      </c>
      <c r="D473" t="s">
        <v>13</v>
      </c>
      <c r="E473" t="str">
        <f t="shared" si="36"/>
        <v>Male</v>
      </c>
      <c r="F473" s="3">
        <v>70000</v>
      </c>
      <c r="G473" s="3" t="str">
        <f t="shared" si="37"/>
        <v>Middle Class</v>
      </c>
      <c r="H473">
        <v>0</v>
      </c>
      <c r="I473" t="s">
        <v>15</v>
      </c>
      <c r="J473" t="s">
        <v>23</v>
      </c>
      <c r="K473" t="s">
        <v>20</v>
      </c>
      <c r="L473" t="str">
        <f t="shared" si="38"/>
        <v>Tenant</v>
      </c>
      <c r="M473">
        <v>2</v>
      </c>
      <c r="N473" t="s">
        <v>26</v>
      </c>
      <c r="O473" t="s">
        <v>27</v>
      </c>
      <c r="P473">
        <v>43</v>
      </c>
      <c r="Q473" t="str">
        <f t="shared" si="39"/>
        <v>35 to 44 yrs</v>
      </c>
      <c r="R473" t="s">
        <v>17</v>
      </c>
    </row>
    <row r="474" spans="1:18">
      <c r="A474">
        <v>22634</v>
      </c>
      <c r="B474" t="s">
        <v>25</v>
      </c>
      <c r="C474" t="str">
        <f t="shared" si="35"/>
        <v>Single</v>
      </c>
      <c r="D474" t="s">
        <v>14</v>
      </c>
      <c r="E474" t="str">
        <f t="shared" si="36"/>
        <v>Female</v>
      </c>
      <c r="F474" s="3">
        <v>40000</v>
      </c>
      <c r="G474" s="3" t="str">
        <f t="shared" si="37"/>
        <v>Lower Class</v>
      </c>
      <c r="H474">
        <v>0</v>
      </c>
      <c r="I474" t="s">
        <v>34</v>
      </c>
      <c r="J474" t="s">
        <v>22</v>
      </c>
      <c r="K474" t="s">
        <v>17</v>
      </c>
      <c r="L474" t="str">
        <f t="shared" si="38"/>
        <v>Home Owner</v>
      </c>
      <c r="M474">
        <v>0</v>
      </c>
      <c r="N474" t="s">
        <v>18</v>
      </c>
      <c r="O474" t="s">
        <v>19</v>
      </c>
      <c r="P474">
        <v>38</v>
      </c>
      <c r="Q474" t="str">
        <f t="shared" si="39"/>
        <v>35 to 44 yrs</v>
      </c>
      <c r="R474" t="s">
        <v>17</v>
      </c>
    </row>
    <row r="475" spans="1:18">
      <c r="A475">
        <v>15665</v>
      </c>
      <c r="B475" t="s">
        <v>13</v>
      </c>
      <c r="C475" t="str">
        <f t="shared" si="35"/>
        <v>Married</v>
      </c>
      <c r="D475" t="s">
        <v>14</v>
      </c>
      <c r="E475" t="str">
        <f t="shared" si="36"/>
        <v>Female</v>
      </c>
      <c r="F475" s="3">
        <v>30000</v>
      </c>
      <c r="G475" s="3" t="str">
        <f t="shared" si="37"/>
        <v>Lower Class</v>
      </c>
      <c r="H475">
        <v>0</v>
      </c>
      <c r="I475" t="s">
        <v>15</v>
      </c>
      <c r="J475" t="s">
        <v>22</v>
      </c>
      <c r="K475" t="s">
        <v>17</v>
      </c>
      <c r="L475" t="str">
        <f t="shared" si="38"/>
        <v>Home Owner</v>
      </c>
      <c r="M475">
        <v>0</v>
      </c>
      <c r="N475" t="s">
        <v>18</v>
      </c>
      <c r="O475" t="s">
        <v>19</v>
      </c>
      <c r="P475">
        <v>47</v>
      </c>
      <c r="Q475" t="str">
        <f t="shared" si="39"/>
        <v>45 to 54 yrs</v>
      </c>
      <c r="R475" t="s">
        <v>17</v>
      </c>
    </row>
    <row r="476" spans="1:18">
      <c r="A476">
        <v>27585</v>
      </c>
      <c r="B476" t="s">
        <v>13</v>
      </c>
      <c r="C476" t="str">
        <f t="shared" si="35"/>
        <v>Married</v>
      </c>
      <c r="D476" t="s">
        <v>14</v>
      </c>
      <c r="E476" t="str">
        <f t="shared" si="36"/>
        <v>Female</v>
      </c>
      <c r="F476" s="3">
        <v>90000</v>
      </c>
      <c r="G476" s="3" t="str">
        <f t="shared" si="37"/>
        <v>Middle Class</v>
      </c>
      <c r="H476">
        <v>2</v>
      </c>
      <c r="I476" t="s">
        <v>15</v>
      </c>
      <c r="J476" t="s">
        <v>23</v>
      </c>
      <c r="K476" t="s">
        <v>20</v>
      </c>
      <c r="L476" t="str">
        <f t="shared" si="38"/>
        <v>Tenant</v>
      </c>
      <c r="M476">
        <v>0</v>
      </c>
      <c r="N476" t="s">
        <v>18</v>
      </c>
      <c r="O476" t="s">
        <v>27</v>
      </c>
      <c r="P476">
        <v>36</v>
      </c>
      <c r="Q476" t="str">
        <f t="shared" si="39"/>
        <v>35 to 44 yrs</v>
      </c>
      <c r="R476" t="s">
        <v>17</v>
      </c>
    </row>
    <row r="477" spans="1:18">
      <c r="A477">
        <v>19748</v>
      </c>
      <c r="B477" t="s">
        <v>13</v>
      </c>
      <c r="C477" t="str">
        <f t="shared" si="35"/>
        <v>Married</v>
      </c>
      <c r="D477" t="s">
        <v>13</v>
      </c>
      <c r="E477" t="str">
        <f t="shared" si="36"/>
        <v>Male</v>
      </c>
      <c r="F477" s="3">
        <v>20000</v>
      </c>
      <c r="G477" s="3" t="str">
        <f t="shared" si="37"/>
        <v>Lower Class</v>
      </c>
      <c r="H477">
        <v>4</v>
      </c>
      <c r="I477" t="s">
        <v>30</v>
      </c>
      <c r="J477" t="s">
        <v>16</v>
      </c>
      <c r="K477" t="s">
        <v>20</v>
      </c>
      <c r="L477" t="str">
        <f t="shared" si="38"/>
        <v>Tenant</v>
      </c>
      <c r="M477">
        <v>2</v>
      </c>
      <c r="N477" t="s">
        <v>29</v>
      </c>
      <c r="O477" t="s">
        <v>27</v>
      </c>
      <c r="P477">
        <v>60</v>
      </c>
      <c r="Q477" t="str">
        <f t="shared" si="39"/>
        <v>55 to 64 yrs</v>
      </c>
      <c r="R477" t="s">
        <v>20</v>
      </c>
    </row>
    <row r="478" spans="1:18">
      <c r="A478">
        <v>21974</v>
      </c>
      <c r="B478" t="s">
        <v>25</v>
      </c>
      <c r="C478" t="str">
        <f t="shared" si="35"/>
        <v>Single</v>
      </c>
      <c r="D478" t="s">
        <v>14</v>
      </c>
      <c r="E478" t="str">
        <f t="shared" si="36"/>
        <v>Female</v>
      </c>
      <c r="F478" s="3">
        <v>70000</v>
      </c>
      <c r="G478" s="3" t="str">
        <f t="shared" si="37"/>
        <v>Middle Class</v>
      </c>
      <c r="H478">
        <v>0</v>
      </c>
      <c r="I478" t="s">
        <v>15</v>
      </c>
      <c r="J478" t="s">
        <v>23</v>
      </c>
      <c r="K478" t="s">
        <v>17</v>
      </c>
      <c r="L478" t="str">
        <f t="shared" si="38"/>
        <v>Home Owner</v>
      </c>
      <c r="M478">
        <v>1</v>
      </c>
      <c r="N478" t="s">
        <v>26</v>
      </c>
      <c r="O478" t="s">
        <v>27</v>
      </c>
      <c r="P478">
        <v>42</v>
      </c>
      <c r="Q478" t="str">
        <f t="shared" si="39"/>
        <v>35 to 44 yrs</v>
      </c>
      <c r="R478" t="s">
        <v>17</v>
      </c>
    </row>
    <row r="479" spans="1:18">
      <c r="A479">
        <v>14032</v>
      </c>
      <c r="B479" t="s">
        <v>13</v>
      </c>
      <c r="C479" t="str">
        <f t="shared" si="35"/>
        <v>Married</v>
      </c>
      <c r="D479" t="s">
        <v>13</v>
      </c>
      <c r="E479" t="str">
        <f t="shared" si="36"/>
        <v>Male</v>
      </c>
      <c r="F479" s="3">
        <v>70000</v>
      </c>
      <c r="G479" s="3" t="str">
        <f t="shared" si="37"/>
        <v>Middle Class</v>
      </c>
      <c r="H479">
        <v>2</v>
      </c>
      <c r="I479" t="s">
        <v>30</v>
      </c>
      <c r="J479" t="s">
        <v>16</v>
      </c>
      <c r="K479" t="s">
        <v>20</v>
      </c>
      <c r="L479" t="str">
        <f t="shared" si="38"/>
        <v>Tenant</v>
      </c>
      <c r="M479">
        <v>2</v>
      </c>
      <c r="N479" t="s">
        <v>29</v>
      </c>
      <c r="O479" t="s">
        <v>27</v>
      </c>
      <c r="P479">
        <v>50</v>
      </c>
      <c r="Q479" t="str">
        <f t="shared" si="39"/>
        <v>45 to 54 yrs</v>
      </c>
      <c r="R479" t="s">
        <v>17</v>
      </c>
    </row>
    <row r="480" spans="1:18">
      <c r="A480">
        <v>22610</v>
      </c>
      <c r="B480" t="s">
        <v>13</v>
      </c>
      <c r="C480" t="str">
        <f t="shared" si="35"/>
        <v>Married</v>
      </c>
      <c r="D480" t="s">
        <v>13</v>
      </c>
      <c r="E480" t="str">
        <f t="shared" si="36"/>
        <v>Male</v>
      </c>
      <c r="F480" s="3">
        <v>30000</v>
      </c>
      <c r="G480" s="3" t="str">
        <f t="shared" si="37"/>
        <v>Lower Class</v>
      </c>
      <c r="H480">
        <v>0</v>
      </c>
      <c r="I480" t="s">
        <v>15</v>
      </c>
      <c r="J480" t="s">
        <v>22</v>
      </c>
      <c r="K480" t="s">
        <v>17</v>
      </c>
      <c r="L480" t="str">
        <f t="shared" si="38"/>
        <v>Home Owner</v>
      </c>
      <c r="M480">
        <v>0</v>
      </c>
      <c r="N480" t="s">
        <v>18</v>
      </c>
      <c r="O480" t="s">
        <v>19</v>
      </c>
      <c r="P480">
        <v>35</v>
      </c>
      <c r="Q480" t="str">
        <f t="shared" si="39"/>
        <v>35 to 44 yrs</v>
      </c>
      <c r="R480" t="s">
        <v>17</v>
      </c>
    </row>
    <row r="481" spans="1:18">
      <c r="A481">
        <v>26984</v>
      </c>
      <c r="B481" t="s">
        <v>13</v>
      </c>
      <c r="C481" t="str">
        <f t="shared" si="35"/>
        <v>Married</v>
      </c>
      <c r="D481" t="s">
        <v>13</v>
      </c>
      <c r="E481" t="str">
        <f t="shared" si="36"/>
        <v>Male</v>
      </c>
      <c r="F481" s="3">
        <v>40000</v>
      </c>
      <c r="G481" s="3" t="str">
        <f t="shared" si="37"/>
        <v>Lower Class</v>
      </c>
      <c r="H481">
        <v>1</v>
      </c>
      <c r="I481" t="s">
        <v>15</v>
      </c>
      <c r="J481" t="s">
        <v>16</v>
      </c>
      <c r="K481" t="s">
        <v>17</v>
      </c>
      <c r="L481" t="str">
        <f t="shared" si="38"/>
        <v>Home Owner</v>
      </c>
      <c r="M481">
        <v>1</v>
      </c>
      <c r="N481" t="s">
        <v>18</v>
      </c>
      <c r="O481" t="s">
        <v>19</v>
      </c>
      <c r="P481">
        <v>32</v>
      </c>
      <c r="Q481" t="str">
        <f t="shared" si="39"/>
        <v>25 to 34 yrs</v>
      </c>
      <c r="R481" t="s">
        <v>17</v>
      </c>
    </row>
    <row r="482" spans="1:18">
      <c r="A482">
        <v>18294</v>
      </c>
      <c r="B482" t="s">
        <v>13</v>
      </c>
      <c r="C482" t="str">
        <f t="shared" si="35"/>
        <v>Married</v>
      </c>
      <c r="D482" t="s">
        <v>14</v>
      </c>
      <c r="E482" t="str">
        <f t="shared" si="36"/>
        <v>Female</v>
      </c>
      <c r="F482" s="3">
        <v>90000</v>
      </c>
      <c r="G482" s="3" t="str">
        <f t="shared" si="37"/>
        <v>Middle Class</v>
      </c>
      <c r="H482">
        <v>1</v>
      </c>
      <c r="I482" t="s">
        <v>15</v>
      </c>
      <c r="J482" t="s">
        <v>23</v>
      </c>
      <c r="K482" t="s">
        <v>17</v>
      </c>
      <c r="L482" t="str">
        <f t="shared" si="38"/>
        <v>Home Owner</v>
      </c>
      <c r="M482">
        <v>1</v>
      </c>
      <c r="N482" t="s">
        <v>26</v>
      </c>
      <c r="O482" t="s">
        <v>27</v>
      </c>
      <c r="P482">
        <v>46</v>
      </c>
      <c r="Q482" t="str">
        <f t="shared" si="39"/>
        <v>45 to 54 yrs</v>
      </c>
      <c r="R482" t="s">
        <v>20</v>
      </c>
    </row>
    <row r="483" spans="1:18">
      <c r="A483">
        <v>28564</v>
      </c>
      <c r="B483" t="s">
        <v>25</v>
      </c>
      <c r="C483" t="str">
        <f t="shared" si="35"/>
        <v>Single</v>
      </c>
      <c r="D483" t="s">
        <v>14</v>
      </c>
      <c r="E483" t="str">
        <f t="shared" si="36"/>
        <v>Female</v>
      </c>
      <c r="F483" s="3">
        <v>40000</v>
      </c>
      <c r="G483" s="3" t="str">
        <f t="shared" si="37"/>
        <v>Lower Class</v>
      </c>
      <c r="H483">
        <v>2</v>
      </c>
      <c r="I483" t="s">
        <v>21</v>
      </c>
      <c r="J483" t="s">
        <v>22</v>
      </c>
      <c r="K483" t="s">
        <v>17</v>
      </c>
      <c r="L483" t="str">
        <f t="shared" si="38"/>
        <v>Home Owner</v>
      </c>
      <c r="M483">
        <v>0</v>
      </c>
      <c r="N483" t="s">
        <v>29</v>
      </c>
      <c r="O483" t="s">
        <v>19</v>
      </c>
      <c r="P483">
        <v>33</v>
      </c>
      <c r="Q483" t="str">
        <f t="shared" si="39"/>
        <v>25 to 34 yrs</v>
      </c>
      <c r="R483" t="s">
        <v>17</v>
      </c>
    </row>
    <row r="484" spans="1:18">
      <c r="A484">
        <v>28521</v>
      </c>
      <c r="B484" t="s">
        <v>25</v>
      </c>
      <c r="C484" t="str">
        <f t="shared" si="35"/>
        <v>Single</v>
      </c>
      <c r="D484" t="s">
        <v>13</v>
      </c>
      <c r="E484" t="str">
        <f t="shared" si="36"/>
        <v>Male</v>
      </c>
      <c r="F484" s="3">
        <v>40000</v>
      </c>
      <c r="G484" s="3" t="str">
        <f t="shared" si="37"/>
        <v>Lower Class</v>
      </c>
      <c r="H484">
        <v>0</v>
      </c>
      <c r="I484" t="s">
        <v>34</v>
      </c>
      <c r="J484" t="s">
        <v>22</v>
      </c>
      <c r="K484" t="s">
        <v>20</v>
      </c>
      <c r="L484" t="str">
        <f t="shared" si="38"/>
        <v>Tenant</v>
      </c>
      <c r="M484">
        <v>0</v>
      </c>
      <c r="N484" t="s">
        <v>18</v>
      </c>
      <c r="O484" t="s">
        <v>19</v>
      </c>
      <c r="P484">
        <v>36</v>
      </c>
      <c r="Q484" t="str">
        <f t="shared" si="39"/>
        <v>35 to 44 yrs</v>
      </c>
      <c r="R484" t="s">
        <v>17</v>
      </c>
    </row>
    <row r="485" spans="1:18">
      <c r="A485">
        <v>15450</v>
      </c>
      <c r="B485" t="s">
        <v>13</v>
      </c>
      <c r="C485" t="str">
        <f t="shared" si="35"/>
        <v>Married</v>
      </c>
      <c r="D485" t="s">
        <v>13</v>
      </c>
      <c r="E485" t="str">
        <f t="shared" si="36"/>
        <v>Male</v>
      </c>
      <c r="F485" s="3">
        <v>10000</v>
      </c>
      <c r="G485" s="3" t="str">
        <f t="shared" si="37"/>
        <v>Lower Class</v>
      </c>
      <c r="H485">
        <v>1</v>
      </c>
      <c r="I485" t="s">
        <v>34</v>
      </c>
      <c r="J485" t="s">
        <v>22</v>
      </c>
      <c r="K485" t="s">
        <v>17</v>
      </c>
      <c r="L485" t="str">
        <f t="shared" si="38"/>
        <v>Home Owner</v>
      </c>
      <c r="M485">
        <v>0</v>
      </c>
      <c r="N485" t="s">
        <v>18</v>
      </c>
      <c r="O485" t="s">
        <v>19</v>
      </c>
      <c r="P485">
        <v>70</v>
      </c>
      <c r="Q485" t="str">
        <f t="shared" si="39"/>
        <v>65 yrs &amp; Above</v>
      </c>
      <c r="R485" t="s">
        <v>20</v>
      </c>
    </row>
    <row r="486" spans="1:18">
      <c r="A486">
        <v>25681</v>
      </c>
      <c r="B486" t="s">
        <v>25</v>
      </c>
      <c r="C486" t="str">
        <f t="shared" si="35"/>
        <v>Single</v>
      </c>
      <c r="D486" t="s">
        <v>14</v>
      </c>
      <c r="E486" t="str">
        <f t="shared" si="36"/>
        <v>Female</v>
      </c>
      <c r="F486" s="3">
        <v>30000</v>
      </c>
      <c r="G486" s="3" t="str">
        <f t="shared" si="37"/>
        <v>Lower Class</v>
      </c>
      <c r="H486">
        <v>0</v>
      </c>
      <c r="I486" t="s">
        <v>21</v>
      </c>
      <c r="J486" t="s">
        <v>22</v>
      </c>
      <c r="K486" t="s">
        <v>20</v>
      </c>
      <c r="L486" t="str">
        <f t="shared" si="38"/>
        <v>Tenant</v>
      </c>
      <c r="M486">
        <v>1</v>
      </c>
      <c r="N486" t="s">
        <v>24</v>
      </c>
      <c r="O486" t="s">
        <v>19</v>
      </c>
      <c r="P486">
        <v>31</v>
      </c>
      <c r="Q486" t="str">
        <f t="shared" si="39"/>
        <v>25 to 34 yrs</v>
      </c>
      <c r="R486" t="s">
        <v>17</v>
      </c>
    </row>
    <row r="487" spans="1:18">
      <c r="A487">
        <v>19491</v>
      </c>
      <c r="B487" t="s">
        <v>25</v>
      </c>
      <c r="C487" t="str">
        <f t="shared" si="35"/>
        <v>Single</v>
      </c>
      <c r="D487" t="s">
        <v>13</v>
      </c>
      <c r="E487" t="str">
        <f t="shared" si="36"/>
        <v>Male</v>
      </c>
      <c r="F487" s="3">
        <v>30000</v>
      </c>
      <c r="G487" s="3" t="str">
        <f t="shared" si="37"/>
        <v>Lower Class</v>
      </c>
      <c r="H487">
        <v>2</v>
      </c>
      <c r="I487" t="s">
        <v>21</v>
      </c>
      <c r="J487" t="s">
        <v>22</v>
      </c>
      <c r="K487" t="s">
        <v>17</v>
      </c>
      <c r="L487" t="str">
        <f t="shared" si="38"/>
        <v>Home Owner</v>
      </c>
      <c r="M487">
        <v>2</v>
      </c>
      <c r="N487" t="s">
        <v>18</v>
      </c>
      <c r="O487" t="s">
        <v>19</v>
      </c>
      <c r="P487">
        <v>42</v>
      </c>
      <c r="Q487" t="str">
        <f t="shared" si="39"/>
        <v>35 to 44 yrs</v>
      </c>
      <c r="R487" t="s">
        <v>20</v>
      </c>
    </row>
    <row r="488" spans="1:18">
      <c r="A488">
        <v>26415</v>
      </c>
      <c r="B488" t="s">
        <v>13</v>
      </c>
      <c r="C488" t="str">
        <f t="shared" si="35"/>
        <v>Married</v>
      </c>
      <c r="D488" t="s">
        <v>14</v>
      </c>
      <c r="E488" t="str">
        <f t="shared" si="36"/>
        <v>Female</v>
      </c>
      <c r="F488" s="3">
        <v>90000</v>
      </c>
      <c r="G488" s="3" t="str">
        <f t="shared" si="37"/>
        <v>Middle Class</v>
      </c>
      <c r="H488">
        <v>4</v>
      </c>
      <c r="I488" t="s">
        <v>32</v>
      </c>
      <c r="J488" t="s">
        <v>16</v>
      </c>
      <c r="K488" t="s">
        <v>17</v>
      </c>
      <c r="L488" t="str">
        <f t="shared" si="38"/>
        <v>Home Owner</v>
      </c>
      <c r="M488">
        <v>4</v>
      </c>
      <c r="N488" t="s">
        <v>33</v>
      </c>
      <c r="O488" t="s">
        <v>19</v>
      </c>
      <c r="P488">
        <v>58</v>
      </c>
      <c r="Q488" t="str">
        <f t="shared" si="39"/>
        <v>55 to 64 yrs</v>
      </c>
      <c r="R488" t="s">
        <v>20</v>
      </c>
    </row>
    <row r="489" spans="1:18">
      <c r="A489">
        <v>12821</v>
      </c>
      <c r="B489" t="s">
        <v>13</v>
      </c>
      <c r="C489" t="str">
        <f t="shared" si="35"/>
        <v>Married</v>
      </c>
      <c r="D489" t="s">
        <v>13</v>
      </c>
      <c r="E489" t="str">
        <f t="shared" si="36"/>
        <v>Male</v>
      </c>
      <c r="F489" s="3">
        <v>40000</v>
      </c>
      <c r="G489" s="3" t="str">
        <f t="shared" si="37"/>
        <v>Lower Class</v>
      </c>
      <c r="H489">
        <v>0</v>
      </c>
      <c r="I489" t="s">
        <v>15</v>
      </c>
      <c r="J489" t="s">
        <v>22</v>
      </c>
      <c r="K489" t="s">
        <v>17</v>
      </c>
      <c r="L489" t="str">
        <f t="shared" si="38"/>
        <v>Home Owner</v>
      </c>
      <c r="M489">
        <v>0</v>
      </c>
      <c r="N489" t="s">
        <v>18</v>
      </c>
      <c r="O489" t="s">
        <v>19</v>
      </c>
      <c r="P489">
        <v>39</v>
      </c>
      <c r="Q489" t="str">
        <f t="shared" si="39"/>
        <v>35 to 44 yrs</v>
      </c>
      <c r="R489" t="s">
        <v>20</v>
      </c>
    </row>
    <row r="490" spans="1:18">
      <c r="A490">
        <v>15629</v>
      </c>
      <c r="B490" t="s">
        <v>25</v>
      </c>
      <c r="C490" t="str">
        <f t="shared" si="35"/>
        <v>Single</v>
      </c>
      <c r="D490" t="s">
        <v>14</v>
      </c>
      <c r="E490" t="str">
        <f t="shared" si="36"/>
        <v>Female</v>
      </c>
      <c r="F490" s="3">
        <v>10000</v>
      </c>
      <c r="G490" s="3" t="str">
        <f t="shared" si="37"/>
        <v>Lower Class</v>
      </c>
      <c r="H490">
        <v>0</v>
      </c>
      <c r="I490" t="s">
        <v>32</v>
      </c>
      <c r="J490" t="s">
        <v>28</v>
      </c>
      <c r="K490" t="s">
        <v>17</v>
      </c>
      <c r="L490" t="str">
        <f t="shared" si="38"/>
        <v>Home Owner</v>
      </c>
      <c r="M490">
        <v>2</v>
      </c>
      <c r="N490" t="s">
        <v>29</v>
      </c>
      <c r="O490" t="s">
        <v>19</v>
      </c>
      <c r="P490">
        <v>34</v>
      </c>
      <c r="Q490" t="str">
        <f t="shared" si="39"/>
        <v>25 to 34 yrs</v>
      </c>
      <c r="R490" t="s">
        <v>20</v>
      </c>
    </row>
    <row r="491" spans="1:18">
      <c r="A491">
        <v>27835</v>
      </c>
      <c r="B491" t="s">
        <v>13</v>
      </c>
      <c r="C491" t="str">
        <f t="shared" si="35"/>
        <v>Married</v>
      </c>
      <c r="D491" t="s">
        <v>13</v>
      </c>
      <c r="E491" t="str">
        <f t="shared" si="36"/>
        <v>Male</v>
      </c>
      <c r="F491" s="3">
        <v>20000</v>
      </c>
      <c r="G491" s="3" t="str">
        <f t="shared" si="37"/>
        <v>Lower Class</v>
      </c>
      <c r="H491">
        <v>0</v>
      </c>
      <c r="I491" t="s">
        <v>32</v>
      </c>
      <c r="J491" t="s">
        <v>28</v>
      </c>
      <c r="K491" t="s">
        <v>17</v>
      </c>
      <c r="L491" t="str">
        <f t="shared" si="38"/>
        <v>Home Owner</v>
      </c>
      <c r="M491">
        <v>2</v>
      </c>
      <c r="N491" t="s">
        <v>18</v>
      </c>
      <c r="O491" t="s">
        <v>19</v>
      </c>
      <c r="P491">
        <v>32</v>
      </c>
      <c r="Q491" t="str">
        <f t="shared" si="39"/>
        <v>25 to 34 yrs</v>
      </c>
      <c r="R491" t="s">
        <v>20</v>
      </c>
    </row>
    <row r="492" spans="1:18">
      <c r="A492">
        <v>11738</v>
      </c>
      <c r="B492" t="s">
        <v>13</v>
      </c>
      <c r="C492" t="str">
        <f t="shared" si="35"/>
        <v>Married</v>
      </c>
      <c r="D492" t="s">
        <v>13</v>
      </c>
      <c r="E492" t="str">
        <f t="shared" si="36"/>
        <v>Male</v>
      </c>
      <c r="F492" s="3">
        <v>60000</v>
      </c>
      <c r="G492" s="3" t="str">
        <f t="shared" si="37"/>
        <v>Middle Class</v>
      </c>
      <c r="H492">
        <v>4</v>
      </c>
      <c r="I492" t="s">
        <v>15</v>
      </c>
      <c r="J492" t="s">
        <v>23</v>
      </c>
      <c r="K492" t="s">
        <v>17</v>
      </c>
      <c r="L492" t="str">
        <f t="shared" si="38"/>
        <v>Home Owner</v>
      </c>
      <c r="M492">
        <v>0</v>
      </c>
      <c r="N492" t="s">
        <v>24</v>
      </c>
      <c r="O492" t="s">
        <v>35</v>
      </c>
      <c r="P492">
        <v>46</v>
      </c>
      <c r="Q492" t="str">
        <f t="shared" si="39"/>
        <v>45 to 54 yrs</v>
      </c>
      <c r="R492" t="s">
        <v>20</v>
      </c>
    </row>
    <row r="493" spans="1:18">
      <c r="A493">
        <v>25065</v>
      </c>
      <c r="B493" t="s">
        <v>13</v>
      </c>
      <c r="C493" t="str">
        <f t="shared" si="35"/>
        <v>Married</v>
      </c>
      <c r="D493" t="s">
        <v>13</v>
      </c>
      <c r="E493" t="str">
        <f t="shared" si="36"/>
        <v>Male</v>
      </c>
      <c r="F493" s="3">
        <v>70000</v>
      </c>
      <c r="G493" s="3" t="str">
        <f t="shared" si="37"/>
        <v>Middle Class</v>
      </c>
      <c r="H493">
        <v>2</v>
      </c>
      <c r="I493" t="s">
        <v>32</v>
      </c>
      <c r="J493" t="s">
        <v>16</v>
      </c>
      <c r="K493" t="s">
        <v>17</v>
      </c>
      <c r="L493" t="str">
        <f t="shared" si="38"/>
        <v>Home Owner</v>
      </c>
      <c r="M493">
        <v>2</v>
      </c>
      <c r="N493" t="s">
        <v>26</v>
      </c>
      <c r="O493" t="s">
        <v>35</v>
      </c>
      <c r="P493">
        <v>48</v>
      </c>
      <c r="Q493" t="str">
        <f t="shared" si="39"/>
        <v>45 to 54 yrs</v>
      </c>
      <c r="R493" t="s">
        <v>20</v>
      </c>
    </row>
    <row r="494" spans="1:18">
      <c r="A494">
        <v>26238</v>
      </c>
      <c r="B494" t="s">
        <v>25</v>
      </c>
      <c r="C494" t="str">
        <f t="shared" si="35"/>
        <v>Single</v>
      </c>
      <c r="D494" t="s">
        <v>14</v>
      </c>
      <c r="E494" t="str">
        <f t="shared" si="36"/>
        <v>Female</v>
      </c>
      <c r="F494" s="3">
        <v>40000</v>
      </c>
      <c r="G494" s="3" t="str">
        <f t="shared" si="37"/>
        <v>Lower Class</v>
      </c>
      <c r="H494">
        <v>3</v>
      </c>
      <c r="I494" t="s">
        <v>21</v>
      </c>
      <c r="J494" t="s">
        <v>22</v>
      </c>
      <c r="K494" t="s">
        <v>17</v>
      </c>
      <c r="L494" t="str">
        <f t="shared" si="38"/>
        <v>Home Owner</v>
      </c>
      <c r="M494">
        <v>1</v>
      </c>
      <c r="N494" t="s">
        <v>29</v>
      </c>
      <c r="O494" t="s">
        <v>35</v>
      </c>
      <c r="P494">
        <v>31</v>
      </c>
      <c r="Q494" t="str">
        <f t="shared" si="39"/>
        <v>25 to 34 yrs</v>
      </c>
      <c r="R494" t="s">
        <v>17</v>
      </c>
    </row>
    <row r="495" spans="1:18">
      <c r="A495">
        <v>23707</v>
      </c>
      <c r="B495" t="s">
        <v>25</v>
      </c>
      <c r="C495" t="str">
        <f t="shared" si="35"/>
        <v>Single</v>
      </c>
      <c r="D495" t="s">
        <v>13</v>
      </c>
      <c r="E495" t="str">
        <f t="shared" si="36"/>
        <v>Male</v>
      </c>
      <c r="F495" s="3">
        <v>70000</v>
      </c>
      <c r="G495" s="3" t="str">
        <f t="shared" si="37"/>
        <v>Middle Class</v>
      </c>
      <c r="H495">
        <v>5</v>
      </c>
      <c r="I495" t="s">
        <v>15</v>
      </c>
      <c r="J495" t="s">
        <v>31</v>
      </c>
      <c r="K495" t="s">
        <v>17</v>
      </c>
      <c r="L495" t="str">
        <f t="shared" si="38"/>
        <v>Home Owner</v>
      </c>
      <c r="M495">
        <v>3</v>
      </c>
      <c r="N495" t="s">
        <v>33</v>
      </c>
      <c r="O495" t="s">
        <v>35</v>
      </c>
      <c r="P495">
        <v>60</v>
      </c>
      <c r="Q495" t="str">
        <f t="shared" si="39"/>
        <v>55 to 64 yrs</v>
      </c>
      <c r="R495" t="s">
        <v>17</v>
      </c>
    </row>
    <row r="496" spans="1:18">
      <c r="A496">
        <v>27650</v>
      </c>
      <c r="B496" t="s">
        <v>13</v>
      </c>
      <c r="C496" t="str">
        <f t="shared" si="35"/>
        <v>Married</v>
      </c>
      <c r="D496" t="s">
        <v>13</v>
      </c>
      <c r="E496" t="str">
        <f t="shared" si="36"/>
        <v>Male</v>
      </c>
      <c r="F496" s="3">
        <v>70000</v>
      </c>
      <c r="G496" s="3" t="str">
        <f t="shared" si="37"/>
        <v>Middle Class</v>
      </c>
      <c r="H496">
        <v>4</v>
      </c>
      <c r="I496" t="s">
        <v>30</v>
      </c>
      <c r="J496" t="s">
        <v>23</v>
      </c>
      <c r="K496" t="s">
        <v>17</v>
      </c>
      <c r="L496" t="str">
        <f t="shared" si="38"/>
        <v>Home Owner</v>
      </c>
      <c r="M496">
        <v>0</v>
      </c>
      <c r="N496" t="s">
        <v>26</v>
      </c>
      <c r="O496" t="s">
        <v>35</v>
      </c>
      <c r="P496">
        <v>51</v>
      </c>
      <c r="Q496" t="str">
        <f t="shared" si="39"/>
        <v>45 to 54 yrs</v>
      </c>
      <c r="R496" t="s">
        <v>20</v>
      </c>
    </row>
    <row r="497" spans="1:18">
      <c r="A497">
        <v>24981</v>
      </c>
      <c r="B497" t="s">
        <v>13</v>
      </c>
      <c r="C497" t="str">
        <f t="shared" si="35"/>
        <v>Married</v>
      </c>
      <c r="D497" t="s">
        <v>13</v>
      </c>
      <c r="E497" t="str">
        <f t="shared" si="36"/>
        <v>Male</v>
      </c>
      <c r="F497" s="3">
        <v>60000</v>
      </c>
      <c r="G497" s="3" t="str">
        <f t="shared" si="37"/>
        <v>Middle Class</v>
      </c>
      <c r="H497">
        <v>2</v>
      </c>
      <c r="I497" t="s">
        <v>21</v>
      </c>
      <c r="J497" t="s">
        <v>23</v>
      </c>
      <c r="K497" t="s">
        <v>17</v>
      </c>
      <c r="L497" t="str">
        <f t="shared" si="38"/>
        <v>Home Owner</v>
      </c>
      <c r="M497">
        <v>2</v>
      </c>
      <c r="N497" t="s">
        <v>33</v>
      </c>
      <c r="O497" t="s">
        <v>35</v>
      </c>
      <c r="P497">
        <v>56</v>
      </c>
      <c r="Q497" t="str">
        <f t="shared" si="39"/>
        <v>55 to 64 yrs</v>
      </c>
      <c r="R497" t="s">
        <v>20</v>
      </c>
    </row>
    <row r="498" spans="1:18">
      <c r="A498">
        <v>20678</v>
      </c>
      <c r="B498" t="s">
        <v>25</v>
      </c>
      <c r="C498" t="str">
        <f t="shared" si="35"/>
        <v>Single</v>
      </c>
      <c r="D498" t="s">
        <v>14</v>
      </c>
      <c r="E498" t="str">
        <f t="shared" si="36"/>
        <v>Female</v>
      </c>
      <c r="F498" s="3">
        <v>60000</v>
      </c>
      <c r="G498" s="3" t="str">
        <f t="shared" si="37"/>
        <v>Middle Class</v>
      </c>
      <c r="H498">
        <v>3</v>
      </c>
      <c r="I498" t="s">
        <v>15</v>
      </c>
      <c r="J498" t="s">
        <v>16</v>
      </c>
      <c r="K498" t="s">
        <v>17</v>
      </c>
      <c r="L498" t="str">
        <f t="shared" si="38"/>
        <v>Home Owner</v>
      </c>
      <c r="M498">
        <v>1</v>
      </c>
      <c r="N498" t="s">
        <v>24</v>
      </c>
      <c r="O498" t="s">
        <v>35</v>
      </c>
      <c r="P498">
        <v>40</v>
      </c>
      <c r="Q498" t="str">
        <f t="shared" si="39"/>
        <v>35 to 44 yrs</v>
      </c>
      <c r="R498" t="s">
        <v>17</v>
      </c>
    </row>
    <row r="499" spans="1:18">
      <c r="A499">
        <v>15302</v>
      </c>
      <c r="B499" t="s">
        <v>25</v>
      </c>
      <c r="C499" t="str">
        <f t="shared" si="35"/>
        <v>Single</v>
      </c>
      <c r="D499" t="s">
        <v>14</v>
      </c>
      <c r="E499" t="str">
        <f t="shared" si="36"/>
        <v>Female</v>
      </c>
      <c r="F499" s="3">
        <v>70000</v>
      </c>
      <c r="G499" s="3" t="str">
        <f t="shared" si="37"/>
        <v>Middle Class</v>
      </c>
      <c r="H499">
        <v>1</v>
      </c>
      <c r="I499" t="s">
        <v>34</v>
      </c>
      <c r="J499" t="s">
        <v>23</v>
      </c>
      <c r="K499" t="s">
        <v>17</v>
      </c>
      <c r="L499" t="str">
        <f t="shared" si="38"/>
        <v>Home Owner</v>
      </c>
      <c r="M499">
        <v>0</v>
      </c>
      <c r="N499" t="s">
        <v>24</v>
      </c>
      <c r="O499" t="s">
        <v>35</v>
      </c>
      <c r="P499">
        <v>34</v>
      </c>
      <c r="Q499" t="str">
        <f t="shared" si="39"/>
        <v>25 to 34 yrs</v>
      </c>
      <c r="R499" t="s">
        <v>17</v>
      </c>
    </row>
    <row r="500" spans="1:18">
      <c r="A500">
        <v>26012</v>
      </c>
      <c r="B500" t="s">
        <v>13</v>
      </c>
      <c r="C500" t="str">
        <f t="shared" si="35"/>
        <v>Married</v>
      </c>
      <c r="D500" t="s">
        <v>13</v>
      </c>
      <c r="E500" t="str">
        <f t="shared" si="36"/>
        <v>Male</v>
      </c>
      <c r="F500" s="3">
        <v>80000</v>
      </c>
      <c r="G500" s="3" t="str">
        <f t="shared" si="37"/>
        <v>Middle Class</v>
      </c>
      <c r="H500">
        <v>1</v>
      </c>
      <c r="I500" t="s">
        <v>21</v>
      </c>
      <c r="J500" t="s">
        <v>16</v>
      </c>
      <c r="K500" t="s">
        <v>17</v>
      </c>
      <c r="L500" t="str">
        <f t="shared" si="38"/>
        <v>Home Owner</v>
      </c>
      <c r="M500">
        <v>1</v>
      </c>
      <c r="N500" t="s">
        <v>24</v>
      </c>
      <c r="O500" t="s">
        <v>35</v>
      </c>
      <c r="P500">
        <v>48</v>
      </c>
      <c r="Q500" t="str">
        <f t="shared" si="39"/>
        <v>45 to 54 yrs</v>
      </c>
      <c r="R500" t="s">
        <v>17</v>
      </c>
    </row>
    <row r="501" spans="1:18">
      <c r="A501">
        <v>26575</v>
      </c>
      <c r="B501" t="s">
        <v>25</v>
      </c>
      <c r="C501" t="str">
        <f t="shared" si="35"/>
        <v>Single</v>
      </c>
      <c r="D501" t="s">
        <v>14</v>
      </c>
      <c r="E501" t="str">
        <f t="shared" si="36"/>
        <v>Female</v>
      </c>
      <c r="F501" s="3">
        <v>40000</v>
      </c>
      <c r="G501" s="3" t="str">
        <f t="shared" si="37"/>
        <v>Lower Class</v>
      </c>
      <c r="H501">
        <v>0</v>
      </c>
      <c r="I501" t="s">
        <v>30</v>
      </c>
      <c r="J501" t="s">
        <v>16</v>
      </c>
      <c r="K501" t="s">
        <v>20</v>
      </c>
      <c r="L501" t="str">
        <f t="shared" si="38"/>
        <v>Tenant</v>
      </c>
      <c r="M501">
        <v>2</v>
      </c>
      <c r="N501" t="s">
        <v>29</v>
      </c>
      <c r="O501" t="s">
        <v>35</v>
      </c>
      <c r="P501">
        <v>31</v>
      </c>
      <c r="Q501" t="str">
        <f t="shared" si="39"/>
        <v>25 to 34 yrs</v>
      </c>
      <c r="R501" t="s">
        <v>17</v>
      </c>
    </row>
    <row r="502" spans="1:18">
      <c r="A502">
        <v>15559</v>
      </c>
      <c r="B502" t="s">
        <v>13</v>
      </c>
      <c r="C502" t="str">
        <f t="shared" si="35"/>
        <v>Married</v>
      </c>
      <c r="D502" t="s">
        <v>13</v>
      </c>
      <c r="E502" t="str">
        <f t="shared" si="36"/>
        <v>Male</v>
      </c>
      <c r="F502" s="3">
        <v>60000</v>
      </c>
      <c r="G502" s="3" t="str">
        <f t="shared" si="37"/>
        <v>Middle Class</v>
      </c>
      <c r="H502">
        <v>5</v>
      </c>
      <c r="I502" t="s">
        <v>15</v>
      </c>
      <c r="J502" t="s">
        <v>23</v>
      </c>
      <c r="K502" t="s">
        <v>17</v>
      </c>
      <c r="L502" t="str">
        <f t="shared" si="38"/>
        <v>Home Owner</v>
      </c>
      <c r="M502">
        <v>1</v>
      </c>
      <c r="N502" t="s">
        <v>24</v>
      </c>
      <c r="O502" t="s">
        <v>35</v>
      </c>
      <c r="P502">
        <v>47</v>
      </c>
      <c r="Q502" t="str">
        <f t="shared" si="39"/>
        <v>45 to 54 yrs</v>
      </c>
      <c r="R502" t="s">
        <v>20</v>
      </c>
    </row>
    <row r="503" spans="1:18">
      <c r="A503">
        <v>19235</v>
      </c>
      <c r="B503" t="s">
        <v>13</v>
      </c>
      <c r="C503" t="str">
        <f t="shared" si="35"/>
        <v>Married</v>
      </c>
      <c r="D503" t="s">
        <v>14</v>
      </c>
      <c r="E503" t="str">
        <f t="shared" si="36"/>
        <v>Female</v>
      </c>
      <c r="F503" s="3">
        <v>50000</v>
      </c>
      <c r="G503" s="3" t="str">
        <f t="shared" si="37"/>
        <v>Lower Class</v>
      </c>
      <c r="H503">
        <v>0</v>
      </c>
      <c r="I503" t="s">
        <v>34</v>
      </c>
      <c r="J503" t="s">
        <v>16</v>
      </c>
      <c r="K503" t="s">
        <v>17</v>
      </c>
      <c r="L503" t="str">
        <f t="shared" si="38"/>
        <v>Home Owner</v>
      </c>
      <c r="M503">
        <v>0</v>
      </c>
      <c r="N503" t="s">
        <v>18</v>
      </c>
      <c r="O503" t="s">
        <v>35</v>
      </c>
      <c r="P503">
        <v>34</v>
      </c>
      <c r="Q503" t="str">
        <f t="shared" si="39"/>
        <v>25 to 34 yrs</v>
      </c>
      <c r="R503" t="s">
        <v>20</v>
      </c>
    </row>
    <row r="504" spans="1:18">
      <c r="A504">
        <v>15275</v>
      </c>
      <c r="B504" t="s">
        <v>13</v>
      </c>
      <c r="C504" t="str">
        <f t="shared" si="35"/>
        <v>Married</v>
      </c>
      <c r="D504" t="s">
        <v>13</v>
      </c>
      <c r="E504" t="str">
        <f t="shared" si="36"/>
        <v>Male</v>
      </c>
      <c r="F504" s="3">
        <v>40000</v>
      </c>
      <c r="G504" s="3" t="str">
        <f t="shared" si="37"/>
        <v>Lower Class</v>
      </c>
      <c r="H504">
        <v>0</v>
      </c>
      <c r="I504" t="s">
        <v>21</v>
      </c>
      <c r="J504" t="s">
        <v>16</v>
      </c>
      <c r="K504" t="s">
        <v>17</v>
      </c>
      <c r="L504" t="str">
        <f t="shared" si="38"/>
        <v>Home Owner</v>
      </c>
      <c r="M504">
        <v>1</v>
      </c>
      <c r="N504" t="s">
        <v>26</v>
      </c>
      <c r="O504" t="s">
        <v>35</v>
      </c>
      <c r="P504">
        <v>29</v>
      </c>
      <c r="Q504" t="str">
        <f t="shared" si="39"/>
        <v>25 to 34 yrs</v>
      </c>
      <c r="R504" t="s">
        <v>20</v>
      </c>
    </row>
    <row r="505" spans="1:18">
      <c r="A505">
        <v>20339</v>
      </c>
      <c r="B505" t="s">
        <v>13</v>
      </c>
      <c r="C505" t="str">
        <f t="shared" si="35"/>
        <v>Married</v>
      </c>
      <c r="D505" t="s">
        <v>14</v>
      </c>
      <c r="E505" t="str">
        <f t="shared" si="36"/>
        <v>Female</v>
      </c>
      <c r="F505" s="3">
        <v>130000</v>
      </c>
      <c r="G505" s="3" t="str">
        <f t="shared" si="37"/>
        <v>Upper Middle Class</v>
      </c>
      <c r="H505">
        <v>1</v>
      </c>
      <c r="I505" t="s">
        <v>15</v>
      </c>
      <c r="J505" t="s">
        <v>31</v>
      </c>
      <c r="K505" t="s">
        <v>17</v>
      </c>
      <c r="L505" t="str">
        <f t="shared" si="38"/>
        <v>Home Owner</v>
      </c>
      <c r="M505">
        <v>4</v>
      </c>
      <c r="N505" t="s">
        <v>24</v>
      </c>
      <c r="O505" t="s">
        <v>35</v>
      </c>
      <c r="P505">
        <v>44</v>
      </c>
      <c r="Q505" t="str">
        <f t="shared" si="39"/>
        <v>35 to 44 yrs</v>
      </c>
      <c r="R505" t="s">
        <v>17</v>
      </c>
    </row>
    <row r="506" spans="1:18">
      <c r="A506">
        <v>25405</v>
      </c>
      <c r="B506" t="s">
        <v>13</v>
      </c>
      <c r="C506" t="str">
        <f t="shared" si="35"/>
        <v>Married</v>
      </c>
      <c r="D506" t="s">
        <v>13</v>
      </c>
      <c r="E506" t="str">
        <f t="shared" si="36"/>
        <v>Male</v>
      </c>
      <c r="F506" s="3">
        <v>70000</v>
      </c>
      <c r="G506" s="3" t="str">
        <f t="shared" si="37"/>
        <v>Middle Class</v>
      </c>
      <c r="H506">
        <v>2</v>
      </c>
      <c r="I506" t="s">
        <v>15</v>
      </c>
      <c r="J506" t="s">
        <v>16</v>
      </c>
      <c r="K506" t="s">
        <v>17</v>
      </c>
      <c r="L506" t="str">
        <f t="shared" si="38"/>
        <v>Home Owner</v>
      </c>
      <c r="M506">
        <v>1</v>
      </c>
      <c r="N506" t="s">
        <v>24</v>
      </c>
      <c r="O506" t="s">
        <v>35</v>
      </c>
      <c r="P506">
        <v>38</v>
      </c>
      <c r="Q506" t="str">
        <f t="shared" si="39"/>
        <v>35 to 44 yrs</v>
      </c>
      <c r="R506" t="s">
        <v>17</v>
      </c>
    </row>
    <row r="507" spans="1:18">
      <c r="A507">
        <v>15940</v>
      </c>
      <c r="B507" t="s">
        <v>13</v>
      </c>
      <c r="C507" t="str">
        <f t="shared" si="35"/>
        <v>Married</v>
      </c>
      <c r="D507" t="s">
        <v>13</v>
      </c>
      <c r="E507" t="str">
        <f t="shared" si="36"/>
        <v>Male</v>
      </c>
      <c r="F507" s="3">
        <v>100000</v>
      </c>
      <c r="G507" s="3" t="str">
        <f t="shared" si="37"/>
        <v>Middle Class</v>
      </c>
      <c r="H507">
        <v>4</v>
      </c>
      <c r="I507" t="s">
        <v>21</v>
      </c>
      <c r="J507" t="s">
        <v>23</v>
      </c>
      <c r="K507" t="s">
        <v>17</v>
      </c>
      <c r="L507" t="str">
        <f t="shared" si="38"/>
        <v>Home Owner</v>
      </c>
      <c r="M507">
        <v>4</v>
      </c>
      <c r="N507" t="s">
        <v>18</v>
      </c>
      <c r="O507" t="s">
        <v>35</v>
      </c>
      <c r="P507">
        <v>40</v>
      </c>
      <c r="Q507" t="str">
        <f t="shared" si="39"/>
        <v>35 to 44 yrs</v>
      </c>
      <c r="R507" t="s">
        <v>20</v>
      </c>
    </row>
    <row r="508" spans="1:18">
      <c r="A508">
        <v>25074</v>
      </c>
      <c r="B508" t="s">
        <v>13</v>
      </c>
      <c r="C508" t="str">
        <f t="shared" si="35"/>
        <v>Married</v>
      </c>
      <c r="D508" t="s">
        <v>14</v>
      </c>
      <c r="E508" t="str">
        <f t="shared" si="36"/>
        <v>Female</v>
      </c>
      <c r="F508" s="3">
        <v>70000</v>
      </c>
      <c r="G508" s="3" t="str">
        <f t="shared" si="37"/>
        <v>Middle Class</v>
      </c>
      <c r="H508">
        <v>4</v>
      </c>
      <c r="I508" t="s">
        <v>15</v>
      </c>
      <c r="J508" t="s">
        <v>23</v>
      </c>
      <c r="K508" t="s">
        <v>17</v>
      </c>
      <c r="L508" t="str">
        <f t="shared" si="38"/>
        <v>Home Owner</v>
      </c>
      <c r="M508">
        <v>2</v>
      </c>
      <c r="N508" t="s">
        <v>24</v>
      </c>
      <c r="O508" t="s">
        <v>35</v>
      </c>
      <c r="P508">
        <v>42</v>
      </c>
      <c r="Q508" t="str">
        <f t="shared" si="39"/>
        <v>35 to 44 yrs</v>
      </c>
      <c r="R508" t="s">
        <v>17</v>
      </c>
    </row>
    <row r="509" spans="1:18">
      <c r="A509">
        <v>24738</v>
      </c>
      <c r="B509" t="s">
        <v>13</v>
      </c>
      <c r="C509" t="str">
        <f t="shared" si="35"/>
        <v>Married</v>
      </c>
      <c r="D509" t="s">
        <v>14</v>
      </c>
      <c r="E509" t="str">
        <f t="shared" si="36"/>
        <v>Female</v>
      </c>
      <c r="F509" s="3">
        <v>40000</v>
      </c>
      <c r="G509" s="3" t="str">
        <f t="shared" si="37"/>
        <v>Lower Class</v>
      </c>
      <c r="H509">
        <v>1</v>
      </c>
      <c r="I509" t="s">
        <v>21</v>
      </c>
      <c r="J509" t="s">
        <v>22</v>
      </c>
      <c r="K509" t="s">
        <v>17</v>
      </c>
      <c r="L509" t="str">
        <f t="shared" si="38"/>
        <v>Home Owner</v>
      </c>
      <c r="M509">
        <v>1</v>
      </c>
      <c r="N509" t="s">
        <v>29</v>
      </c>
      <c r="O509" t="s">
        <v>35</v>
      </c>
      <c r="P509">
        <v>51</v>
      </c>
      <c r="Q509" t="str">
        <f t="shared" si="39"/>
        <v>45 to 54 yrs</v>
      </c>
      <c r="R509" t="s">
        <v>17</v>
      </c>
    </row>
    <row r="510" spans="1:18">
      <c r="A510">
        <v>16337</v>
      </c>
      <c r="B510" t="s">
        <v>13</v>
      </c>
      <c r="C510" t="str">
        <f t="shared" si="35"/>
        <v>Married</v>
      </c>
      <c r="D510" t="s">
        <v>13</v>
      </c>
      <c r="E510" t="str">
        <f t="shared" si="36"/>
        <v>Male</v>
      </c>
      <c r="F510" s="3">
        <v>60000</v>
      </c>
      <c r="G510" s="3" t="str">
        <f t="shared" si="37"/>
        <v>Middle Class</v>
      </c>
      <c r="H510">
        <v>0</v>
      </c>
      <c r="I510" t="s">
        <v>21</v>
      </c>
      <c r="J510" t="s">
        <v>16</v>
      </c>
      <c r="K510" t="s">
        <v>20</v>
      </c>
      <c r="L510" t="str">
        <f t="shared" si="38"/>
        <v>Tenant</v>
      </c>
      <c r="M510">
        <v>2</v>
      </c>
      <c r="N510" t="s">
        <v>29</v>
      </c>
      <c r="O510" t="s">
        <v>35</v>
      </c>
      <c r="P510">
        <v>29</v>
      </c>
      <c r="Q510" t="str">
        <f t="shared" si="39"/>
        <v>25 to 34 yrs</v>
      </c>
      <c r="R510" t="s">
        <v>20</v>
      </c>
    </row>
    <row r="511" spans="1:18">
      <c r="A511">
        <v>24357</v>
      </c>
      <c r="B511" t="s">
        <v>13</v>
      </c>
      <c r="C511" t="str">
        <f t="shared" si="35"/>
        <v>Married</v>
      </c>
      <c r="D511" t="s">
        <v>13</v>
      </c>
      <c r="E511" t="str">
        <f t="shared" si="36"/>
        <v>Male</v>
      </c>
      <c r="F511" s="3">
        <v>80000</v>
      </c>
      <c r="G511" s="3" t="str">
        <f t="shared" si="37"/>
        <v>Middle Class</v>
      </c>
      <c r="H511">
        <v>3</v>
      </c>
      <c r="I511" t="s">
        <v>15</v>
      </c>
      <c r="J511" t="s">
        <v>23</v>
      </c>
      <c r="K511" t="s">
        <v>17</v>
      </c>
      <c r="L511" t="str">
        <f t="shared" si="38"/>
        <v>Home Owner</v>
      </c>
      <c r="M511">
        <v>1</v>
      </c>
      <c r="N511" t="s">
        <v>24</v>
      </c>
      <c r="O511" t="s">
        <v>35</v>
      </c>
      <c r="P511">
        <v>48</v>
      </c>
      <c r="Q511" t="str">
        <f t="shared" si="39"/>
        <v>45 to 54 yrs</v>
      </c>
      <c r="R511" t="s">
        <v>17</v>
      </c>
    </row>
    <row r="512" spans="1:18">
      <c r="A512">
        <v>18613</v>
      </c>
      <c r="B512" t="s">
        <v>25</v>
      </c>
      <c r="C512" t="str">
        <f t="shared" si="35"/>
        <v>Single</v>
      </c>
      <c r="D512" t="s">
        <v>13</v>
      </c>
      <c r="E512" t="str">
        <f t="shared" si="36"/>
        <v>Male</v>
      </c>
      <c r="F512" s="3">
        <v>70000</v>
      </c>
      <c r="G512" s="3" t="str">
        <f t="shared" si="37"/>
        <v>Middle Class</v>
      </c>
      <c r="H512">
        <v>0</v>
      </c>
      <c r="I512" t="s">
        <v>15</v>
      </c>
      <c r="J512" t="s">
        <v>23</v>
      </c>
      <c r="K512" t="s">
        <v>20</v>
      </c>
      <c r="L512" t="str">
        <f t="shared" si="38"/>
        <v>Tenant</v>
      </c>
      <c r="M512">
        <v>1</v>
      </c>
      <c r="N512" t="s">
        <v>24</v>
      </c>
      <c r="O512" t="s">
        <v>35</v>
      </c>
      <c r="P512">
        <v>37</v>
      </c>
      <c r="Q512" t="str">
        <f t="shared" si="39"/>
        <v>35 to 44 yrs</v>
      </c>
      <c r="R512" t="s">
        <v>17</v>
      </c>
    </row>
    <row r="513" spans="1:18">
      <c r="A513">
        <v>12207</v>
      </c>
      <c r="B513" t="s">
        <v>25</v>
      </c>
      <c r="C513" t="str">
        <f t="shared" si="35"/>
        <v>Single</v>
      </c>
      <c r="D513" t="s">
        <v>13</v>
      </c>
      <c r="E513" t="str">
        <f t="shared" si="36"/>
        <v>Male</v>
      </c>
      <c r="F513" s="3">
        <v>80000</v>
      </c>
      <c r="G513" s="3" t="str">
        <f t="shared" si="37"/>
        <v>Middle Class</v>
      </c>
      <c r="H513">
        <v>4</v>
      </c>
      <c r="I513" t="s">
        <v>15</v>
      </c>
      <c r="J513" t="s">
        <v>31</v>
      </c>
      <c r="K513" t="s">
        <v>17</v>
      </c>
      <c r="L513" t="str">
        <f t="shared" si="38"/>
        <v>Home Owner</v>
      </c>
      <c r="M513">
        <v>0</v>
      </c>
      <c r="N513" t="s">
        <v>26</v>
      </c>
      <c r="O513" t="s">
        <v>35</v>
      </c>
      <c r="P513">
        <v>66</v>
      </c>
      <c r="Q513" t="str">
        <f t="shared" si="39"/>
        <v>65 yrs &amp; Above</v>
      </c>
      <c r="R513" t="s">
        <v>17</v>
      </c>
    </row>
    <row r="514" spans="1:18">
      <c r="A514">
        <v>18052</v>
      </c>
      <c r="B514" t="s">
        <v>13</v>
      </c>
      <c r="C514" t="str">
        <f t="shared" si="35"/>
        <v>Married</v>
      </c>
      <c r="D514" t="s">
        <v>14</v>
      </c>
      <c r="E514" t="str">
        <f t="shared" si="36"/>
        <v>Female</v>
      </c>
      <c r="F514" s="3">
        <v>60000</v>
      </c>
      <c r="G514" s="3" t="str">
        <f t="shared" si="37"/>
        <v>Middle Class</v>
      </c>
      <c r="H514">
        <v>1</v>
      </c>
      <c r="I514" t="s">
        <v>21</v>
      </c>
      <c r="J514" t="s">
        <v>16</v>
      </c>
      <c r="K514" t="s">
        <v>17</v>
      </c>
      <c r="L514" t="str">
        <f t="shared" si="38"/>
        <v>Home Owner</v>
      </c>
      <c r="M514">
        <v>1</v>
      </c>
      <c r="N514" t="s">
        <v>18</v>
      </c>
      <c r="O514" t="s">
        <v>35</v>
      </c>
      <c r="P514">
        <v>45</v>
      </c>
      <c r="Q514" t="str">
        <f t="shared" si="39"/>
        <v>45 to 54 yrs</v>
      </c>
      <c r="R514" t="s">
        <v>17</v>
      </c>
    </row>
    <row r="515" spans="1:18">
      <c r="A515">
        <v>13353</v>
      </c>
      <c r="B515" t="s">
        <v>25</v>
      </c>
      <c r="C515" t="str">
        <f t="shared" ref="C515:C578" si="40">IF($B$2:$B$1001="M", "Married","Single")</f>
        <v>Single</v>
      </c>
      <c r="D515" t="s">
        <v>14</v>
      </c>
      <c r="E515" t="str">
        <f t="shared" ref="E515:E578" si="41">IF($D$2:$D$1001="F", "Female", "Male")</f>
        <v>Female</v>
      </c>
      <c r="F515" s="3">
        <v>60000</v>
      </c>
      <c r="G515" s="3" t="str">
        <f t="shared" ref="G515:G578" si="42">_xlfn.IFS(F515&lt;=57375,"Lower Class",F515&lt;=114750,"Middle Class",F515&lt;=253414,"Upper Middle Class",TRUE,"Upper Class")</f>
        <v>Middle Class</v>
      </c>
      <c r="H515">
        <v>4</v>
      </c>
      <c r="I515" t="s">
        <v>34</v>
      </c>
      <c r="J515" t="s">
        <v>31</v>
      </c>
      <c r="K515" t="s">
        <v>17</v>
      </c>
      <c r="L515" t="str">
        <f t="shared" ref="L515:L578" si="43">IF($K$2:$K$1001="Yes", "Home Owner","Tenant")</f>
        <v>Home Owner</v>
      </c>
      <c r="M515">
        <v>2</v>
      </c>
      <c r="N515" t="s">
        <v>33</v>
      </c>
      <c r="O515" t="s">
        <v>35</v>
      </c>
      <c r="P515">
        <v>61</v>
      </c>
      <c r="Q515" t="str">
        <f t="shared" ref="Q515:Q578" si="44">_xlfn.IFS(P515&lt;25,"Less than 25 yrs",P515&lt;35,"25 to 34 yrs",P515&lt;45,"35 to 44 yrs",P515&lt;55,"45 to 54 yrs",P515&lt;65,"55 to 64 yrs", TRUE, "65 yrs &amp; Above")</f>
        <v>55 to 64 yrs</v>
      </c>
      <c r="R515" t="s">
        <v>17</v>
      </c>
    </row>
    <row r="516" spans="1:18">
      <c r="A516">
        <v>19399</v>
      </c>
      <c r="B516" t="s">
        <v>25</v>
      </c>
      <c r="C516" t="str">
        <f t="shared" si="40"/>
        <v>Single</v>
      </c>
      <c r="D516" t="s">
        <v>13</v>
      </c>
      <c r="E516" t="str">
        <f t="shared" si="41"/>
        <v>Male</v>
      </c>
      <c r="F516" s="3">
        <v>40000</v>
      </c>
      <c r="G516" s="3" t="str">
        <f t="shared" si="42"/>
        <v>Lower Class</v>
      </c>
      <c r="H516">
        <v>0</v>
      </c>
      <c r="I516" t="s">
        <v>15</v>
      </c>
      <c r="J516" t="s">
        <v>23</v>
      </c>
      <c r="K516" t="s">
        <v>20</v>
      </c>
      <c r="L516" t="str">
        <f t="shared" si="43"/>
        <v>Tenant</v>
      </c>
      <c r="M516">
        <v>1</v>
      </c>
      <c r="N516" t="s">
        <v>24</v>
      </c>
      <c r="O516" t="s">
        <v>35</v>
      </c>
      <c r="P516">
        <v>45</v>
      </c>
      <c r="Q516" t="str">
        <f t="shared" si="44"/>
        <v>45 to 54 yrs</v>
      </c>
      <c r="R516" t="s">
        <v>20</v>
      </c>
    </row>
    <row r="517" spans="1:18">
      <c r="A517">
        <v>16154</v>
      </c>
      <c r="B517" t="s">
        <v>13</v>
      </c>
      <c r="C517" t="str">
        <f t="shared" si="40"/>
        <v>Married</v>
      </c>
      <c r="D517" t="s">
        <v>14</v>
      </c>
      <c r="E517" t="str">
        <f t="shared" si="41"/>
        <v>Female</v>
      </c>
      <c r="F517" s="3">
        <v>70000</v>
      </c>
      <c r="G517" s="3" t="str">
        <f t="shared" si="42"/>
        <v>Middle Class</v>
      </c>
      <c r="H517">
        <v>5</v>
      </c>
      <c r="I517" t="s">
        <v>15</v>
      </c>
      <c r="J517" t="s">
        <v>23</v>
      </c>
      <c r="K517" t="s">
        <v>17</v>
      </c>
      <c r="L517" t="str">
        <f t="shared" si="43"/>
        <v>Home Owner</v>
      </c>
      <c r="M517">
        <v>2</v>
      </c>
      <c r="N517" t="s">
        <v>24</v>
      </c>
      <c r="O517" t="s">
        <v>35</v>
      </c>
      <c r="P517">
        <v>47</v>
      </c>
      <c r="Q517" t="str">
        <f t="shared" si="44"/>
        <v>45 to 54 yrs</v>
      </c>
      <c r="R517" t="s">
        <v>20</v>
      </c>
    </row>
    <row r="518" spans="1:18">
      <c r="A518">
        <v>22219</v>
      </c>
      <c r="B518" t="s">
        <v>13</v>
      </c>
      <c r="C518" t="str">
        <f t="shared" si="40"/>
        <v>Married</v>
      </c>
      <c r="D518" t="s">
        <v>14</v>
      </c>
      <c r="E518" t="str">
        <f t="shared" si="41"/>
        <v>Female</v>
      </c>
      <c r="F518" s="3">
        <v>60000</v>
      </c>
      <c r="G518" s="3" t="str">
        <f t="shared" si="42"/>
        <v>Middle Class</v>
      </c>
      <c r="H518">
        <v>2</v>
      </c>
      <c r="I518" t="s">
        <v>30</v>
      </c>
      <c r="J518" t="s">
        <v>23</v>
      </c>
      <c r="K518" t="s">
        <v>17</v>
      </c>
      <c r="L518" t="str">
        <f t="shared" si="43"/>
        <v>Home Owner</v>
      </c>
      <c r="M518">
        <v>2</v>
      </c>
      <c r="N518" t="s">
        <v>26</v>
      </c>
      <c r="O518" t="s">
        <v>35</v>
      </c>
      <c r="P518">
        <v>49</v>
      </c>
      <c r="Q518" t="str">
        <f t="shared" si="44"/>
        <v>45 to 54 yrs</v>
      </c>
      <c r="R518" t="s">
        <v>20</v>
      </c>
    </row>
    <row r="519" spans="1:18">
      <c r="A519">
        <v>17269</v>
      </c>
      <c r="B519" t="s">
        <v>25</v>
      </c>
      <c r="C519" t="str">
        <f t="shared" si="40"/>
        <v>Single</v>
      </c>
      <c r="D519" t="s">
        <v>13</v>
      </c>
      <c r="E519" t="str">
        <f t="shared" si="41"/>
        <v>Male</v>
      </c>
      <c r="F519" s="3">
        <v>60000</v>
      </c>
      <c r="G519" s="3" t="str">
        <f t="shared" si="42"/>
        <v>Middle Class</v>
      </c>
      <c r="H519">
        <v>3</v>
      </c>
      <c r="I519" t="s">
        <v>15</v>
      </c>
      <c r="J519" t="s">
        <v>23</v>
      </c>
      <c r="K519" t="s">
        <v>20</v>
      </c>
      <c r="L519" t="str">
        <f t="shared" si="43"/>
        <v>Tenant</v>
      </c>
      <c r="M519">
        <v>0</v>
      </c>
      <c r="N519" t="s">
        <v>18</v>
      </c>
      <c r="O519" t="s">
        <v>35</v>
      </c>
      <c r="P519">
        <v>47</v>
      </c>
      <c r="Q519" t="str">
        <f t="shared" si="44"/>
        <v>45 to 54 yrs</v>
      </c>
      <c r="R519" t="s">
        <v>17</v>
      </c>
    </row>
    <row r="520" spans="1:18">
      <c r="A520">
        <v>23586</v>
      </c>
      <c r="B520" t="s">
        <v>13</v>
      </c>
      <c r="C520" t="str">
        <f t="shared" si="40"/>
        <v>Married</v>
      </c>
      <c r="D520" t="s">
        <v>14</v>
      </c>
      <c r="E520" t="str">
        <f t="shared" si="41"/>
        <v>Female</v>
      </c>
      <c r="F520" s="3">
        <v>80000</v>
      </c>
      <c r="G520" s="3" t="str">
        <f t="shared" si="42"/>
        <v>Middle Class</v>
      </c>
      <c r="H520">
        <v>0</v>
      </c>
      <c r="I520" t="s">
        <v>15</v>
      </c>
      <c r="J520" t="s">
        <v>31</v>
      </c>
      <c r="K520" t="s">
        <v>17</v>
      </c>
      <c r="L520" t="str">
        <f t="shared" si="43"/>
        <v>Home Owner</v>
      </c>
      <c r="M520">
        <v>1</v>
      </c>
      <c r="N520" t="s">
        <v>29</v>
      </c>
      <c r="O520" t="s">
        <v>35</v>
      </c>
      <c r="P520">
        <v>34</v>
      </c>
      <c r="Q520" t="str">
        <f t="shared" si="44"/>
        <v>25 to 34 yrs</v>
      </c>
      <c r="R520" t="s">
        <v>17</v>
      </c>
    </row>
    <row r="521" spans="1:18">
      <c r="A521">
        <v>15740</v>
      </c>
      <c r="B521" t="s">
        <v>13</v>
      </c>
      <c r="C521" t="str">
        <f t="shared" si="40"/>
        <v>Married</v>
      </c>
      <c r="D521" t="s">
        <v>13</v>
      </c>
      <c r="E521" t="str">
        <f t="shared" si="41"/>
        <v>Male</v>
      </c>
      <c r="F521" s="3">
        <v>80000</v>
      </c>
      <c r="G521" s="3" t="str">
        <f t="shared" si="42"/>
        <v>Middle Class</v>
      </c>
      <c r="H521">
        <v>5</v>
      </c>
      <c r="I521" t="s">
        <v>15</v>
      </c>
      <c r="J521" t="s">
        <v>31</v>
      </c>
      <c r="K521" t="s">
        <v>17</v>
      </c>
      <c r="L521" t="str">
        <f t="shared" si="43"/>
        <v>Home Owner</v>
      </c>
      <c r="M521">
        <v>2</v>
      </c>
      <c r="N521" t="s">
        <v>29</v>
      </c>
      <c r="O521" t="s">
        <v>35</v>
      </c>
      <c r="P521">
        <v>64</v>
      </c>
      <c r="Q521" t="str">
        <f t="shared" si="44"/>
        <v>55 to 64 yrs</v>
      </c>
      <c r="R521" t="s">
        <v>20</v>
      </c>
    </row>
    <row r="522" spans="1:18">
      <c r="A522">
        <v>27638</v>
      </c>
      <c r="B522" t="s">
        <v>25</v>
      </c>
      <c r="C522" t="str">
        <f t="shared" si="40"/>
        <v>Single</v>
      </c>
      <c r="D522" t="s">
        <v>13</v>
      </c>
      <c r="E522" t="str">
        <f t="shared" si="41"/>
        <v>Male</v>
      </c>
      <c r="F522" s="3">
        <v>100000</v>
      </c>
      <c r="G522" s="3" t="str">
        <f t="shared" si="42"/>
        <v>Middle Class</v>
      </c>
      <c r="H522">
        <v>1</v>
      </c>
      <c r="I522" t="s">
        <v>21</v>
      </c>
      <c r="J522" t="s">
        <v>23</v>
      </c>
      <c r="K522" t="s">
        <v>20</v>
      </c>
      <c r="L522" t="str">
        <f t="shared" si="43"/>
        <v>Tenant</v>
      </c>
      <c r="M522">
        <v>3</v>
      </c>
      <c r="N522" t="s">
        <v>29</v>
      </c>
      <c r="O522" t="s">
        <v>35</v>
      </c>
      <c r="P522">
        <v>44</v>
      </c>
      <c r="Q522" t="str">
        <f t="shared" si="44"/>
        <v>35 to 44 yrs</v>
      </c>
      <c r="R522" t="s">
        <v>20</v>
      </c>
    </row>
    <row r="523" spans="1:18">
      <c r="A523">
        <v>18976</v>
      </c>
      <c r="B523" t="s">
        <v>25</v>
      </c>
      <c r="C523" t="str">
        <f t="shared" si="40"/>
        <v>Single</v>
      </c>
      <c r="D523" t="s">
        <v>13</v>
      </c>
      <c r="E523" t="str">
        <f t="shared" si="41"/>
        <v>Male</v>
      </c>
      <c r="F523" s="3">
        <v>40000</v>
      </c>
      <c r="G523" s="3" t="str">
        <f t="shared" si="42"/>
        <v>Lower Class</v>
      </c>
      <c r="H523">
        <v>4</v>
      </c>
      <c r="I523" t="s">
        <v>30</v>
      </c>
      <c r="J523" t="s">
        <v>23</v>
      </c>
      <c r="K523" t="s">
        <v>17</v>
      </c>
      <c r="L523" t="str">
        <f t="shared" si="43"/>
        <v>Home Owner</v>
      </c>
      <c r="M523">
        <v>2</v>
      </c>
      <c r="N523" t="s">
        <v>33</v>
      </c>
      <c r="O523" t="s">
        <v>35</v>
      </c>
      <c r="P523">
        <v>62</v>
      </c>
      <c r="Q523" t="str">
        <f t="shared" si="44"/>
        <v>55 to 64 yrs</v>
      </c>
      <c r="R523" t="s">
        <v>17</v>
      </c>
    </row>
    <row r="524" spans="1:18">
      <c r="A524">
        <v>19413</v>
      </c>
      <c r="B524" t="s">
        <v>25</v>
      </c>
      <c r="C524" t="str">
        <f t="shared" si="40"/>
        <v>Single</v>
      </c>
      <c r="D524" t="s">
        <v>13</v>
      </c>
      <c r="E524" t="str">
        <f t="shared" si="41"/>
        <v>Male</v>
      </c>
      <c r="F524" s="3">
        <v>60000</v>
      </c>
      <c r="G524" s="3" t="str">
        <f t="shared" si="42"/>
        <v>Middle Class</v>
      </c>
      <c r="H524">
        <v>3</v>
      </c>
      <c r="I524" t="s">
        <v>15</v>
      </c>
      <c r="J524" t="s">
        <v>23</v>
      </c>
      <c r="K524" t="s">
        <v>20</v>
      </c>
      <c r="L524" t="str">
        <f t="shared" si="43"/>
        <v>Tenant</v>
      </c>
      <c r="M524">
        <v>1</v>
      </c>
      <c r="N524" t="s">
        <v>18</v>
      </c>
      <c r="O524" t="s">
        <v>35</v>
      </c>
      <c r="P524">
        <v>47</v>
      </c>
      <c r="Q524" t="str">
        <f t="shared" si="44"/>
        <v>45 to 54 yrs</v>
      </c>
      <c r="R524" t="s">
        <v>17</v>
      </c>
    </row>
    <row r="525" spans="1:18">
      <c r="A525">
        <v>13283</v>
      </c>
      <c r="B525" t="s">
        <v>13</v>
      </c>
      <c r="C525" t="str">
        <f t="shared" si="40"/>
        <v>Married</v>
      </c>
      <c r="D525" t="s">
        <v>13</v>
      </c>
      <c r="E525" t="str">
        <f t="shared" si="41"/>
        <v>Male</v>
      </c>
      <c r="F525" s="3">
        <v>80000</v>
      </c>
      <c r="G525" s="3" t="str">
        <f t="shared" si="42"/>
        <v>Middle Class</v>
      </c>
      <c r="H525">
        <v>3</v>
      </c>
      <c r="I525" t="s">
        <v>21</v>
      </c>
      <c r="J525" t="s">
        <v>23</v>
      </c>
      <c r="K525" t="s">
        <v>20</v>
      </c>
      <c r="L525" t="str">
        <f t="shared" si="43"/>
        <v>Tenant</v>
      </c>
      <c r="M525">
        <v>2</v>
      </c>
      <c r="N525" t="s">
        <v>18</v>
      </c>
      <c r="O525" t="s">
        <v>35</v>
      </c>
      <c r="P525">
        <v>49</v>
      </c>
      <c r="Q525" t="str">
        <f t="shared" si="44"/>
        <v>45 to 54 yrs</v>
      </c>
      <c r="R525" t="s">
        <v>17</v>
      </c>
    </row>
    <row r="526" spans="1:18">
      <c r="A526">
        <v>17471</v>
      </c>
      <c r="B526" t="s">
        <v>25</v>
      </c>
      <c r="C526" t="str">
        <f t="shared" si="40"/>
        <v>Single</v>
      </c>
      <c r="D526" t="s">
        <v>14</v>
      </c>
      <c r="E526" t="str">
        <f t="shared" si="41"/>
        <v>Female</v>
      </c>
      <c r="F526" s="3">
        <v>80000</v>
      </c>
      <c r="G526" s="3" t="str">
        <f t="shared" si="42"/>
        <v>Middle Class</v>
      </c>
      <c r="H526">
        <v>4</v>
      </c>
      <c r="I526" t="s">
        <v>34</v>
      </c>
      <c r="J526" t="s">
        <v>31</v>
      </c>
      <c r="K526" t="s">
        <v>17</v>
      </c>
      <c r="L526" t="str">
        <f t="shared" si="43"/>
        <v>Home Owner</v>
      </c>
      <c r="M526">
        <v>2</v>
      </c>
      <c r="N526" t="s">
        <v>26</v>
      </c>
      <c r="O526" t="s">
        <v>35</v>
      </c>
      <c r="P526">
        <v>67</v>
      </c>
      <c r="Q526" t="str">
        <f t="shared" si="44"/>
        <v>65 yrs &amp; Above</v>
      </c>
      <c r="R526" t="s">
        <v>20</v>
      </c>
    </row>
    <row r="527" spans="1:18">
      <c r="A527">
        <v>16791</v>
      </c>
      <c r="B527" t="s">
        <v>25</v>
      </c>
      <c r="C527" t="str">
        <f t="shared" si="40"/>
        <v>Single</v>
      </c>
      <c r="D527" t="s">
        <v>13</v>
      </c>
      <c r="E527" t="str">
        <f t="shared" si="41"/>
        <v>Male</v>
      </c>
      <c r="F527" s="3">
        <v>60000</v>
      </c>
      <c r="G527" s="3" t="str">
        <f t="shared" si="42"/>
        <v>Middle Class</v>
      </c>
      <c r="H527">
        <v>5</v>
      </c>
      <c r="I527" t="s">
        <v>15</v>
      </c>
      <c r="J527" t="s">
        <v>31</v>
      </c>
      <c r="K527" t="s">
        <v>17</v>
      </c>
      <c r="L527" t="str">
        <f t="shared" si="43"/>
        <v>Home Owner</v>
      </c>
      <c r="M527">
        <v>3</v>
      </c>
      <c r="N527" t="s">
        <v>33</v>
      </c>
      <c r="O527" t="s">
        <v>35</v>
      </c>
      <c r="P527">
        <v>59</v>
      </c>
      <c r="Q527" t="str">
        <f t="shared" si="44"/>
        <v>55 to 64 yrs</v>
      </c>
      <c r="R527" t="s">
        <v>17</v>
      </c>
    </row>
    <row r="528" spans="1:18">
      <c r="A528">
        <v>15382</v>
      </c>
      <c r="B528" t="s">
        <v>13</v>
      </c>
      <c r="C528" t="str">
        <f t="shared" si="40"/>
        <v>Married</v>
      </c>
      <c r="D528" t="s">
        <v>14</v>
      </c>
      <c r="E528" t="str">
        <f t="shared" si="41"/>
        <v>Female</v>
      </c>
      <c r="F528" s="3">
        <v>110000</v>
      </c>
      <c r="G528" s="3" t="str">
        <f t="shared" si="42"/>
        <v>Middle Class</v>
      </c>
      <c r="H528">
        <v>1</v>
      </c>
      <c r="I528" t="s">
        <v>15</v>
      </c>
      <c r="J528" t="s">
        <v>31</v>
      </c>
      <c r="K528" t="s">
        <v>17</v>
      </c>
      <c r="L528" t="str">
        <f t="shared" si="43"/>
        <v>Home Owner</v>
      </c>
      <c r="M528">
        <v>2</v>
      </c>
      <c r="N528" t="s">
        <v>29</v>
      </c>
      <c r="O528" t="s">
        <v>35</v>
      </c>
      <c r="P528">
        <v>44</v>
      </c>
      <c r="Q528" t="str">
        <f t="shared" si="44"/>
        <v>35 to 44 yrs</v>
      </c>
      <c r="R528" t="s">
        <v>20</v>
      </c>
    </row>
    <row r="529" spans="1:18">
      <c r="A529">
        <v>11641</v>
      </c>
      <c r="B529" t="s">
        <v>13</v>
      </c>
      <c r="C529" t="str">
        <f t="shared" si="40"/>
        <v>Married</v>
      </c>
      <c r="D529" t="s">
        <v>13</v>
      </c>
      <c r="E529" t="str">
        <f t="shared" si="41"/>
        <v>Male</v>
      </c>
      <c r="F529" s="3">
        <v>50000</v>
      </c>
      <c r="G529" s="3" t="str">
        <f t="shared" si="42"/>
        <v>Lower Class</v>
      </c>
      <c r="H529">
        <v>1</v>
      </c>
      <c r="I529" t="s">
        <v>15</v>
      </c>
      <c r="J529" t="s">
        <v>16</v>
      </c>
      <c r="K529" t="s">
        <v>17</v>
      </c>
      <c r="L529" t="str">
        <f t="shared" si="43"/>
        <v>Home Owner</v>
      </c>
      <c r="M529">
        <v>0</v>
      </c>
      <c r="N529" t="s">
        <v>18</v>
      </c>
      <c r="O529" t="s">
        <v>35</v>
      </c>
      <c r="P529">
        <v>36</v>
      </c>
      <c r="Q529" t="str">
        <f t="shared" si="44"/>
        <v>35 to 44 yrs</v>
      </c>
      <c r="R529" t="s">
        <v>20</v>
      </c>
    </row>
    <row r="530" spans="1:18">
      <c r="A530">
        <v>11935</v>
      </c>
      <c r="B530" t="s">
        <v>25</v>
      </c>
      <c r="C530" t="str">
        <f t="shared" si="40"/>
        <v>Single</v>
      </c>
      <c r="D530" t="s">
        <v>14</v>
      </c>
      <c r="E530" t="str">
        <f t="shared" si="41"/>
        <v>Female</v>
      </c>
      <c r="F530" s="3">
        <v>30000</v>
      </c>
      <c r="G530" s="3" t="str">
        <f t="shared" si="42"/>
        <v>Lower Class</v>
      </c>
      <c r="H530">
        <v>0</v>
      </c>
      <c r="I530" t="s">
        <v>21</v>
      </c>
      <c r="J530" t="s">
        <v>16</v>
      </c>
      <c r="K530" t="s">
        <v>17</v>
      </c>
      <c r="L530" t="str">
        <f t="shared" si="43"/>
        <v>Home Owner</v>
      </c>
      <c r="M530">
        <v>1</v>
      </c>
      <c r="N530" t="s">
        <v>26</v>
      </c>
      <c r="O530" t="s">
        <v>35</v>
      </c>
      <c r="P530">
        <v>28</v>
      </c>
      <c r="Q530" t="str">
        <f t="shared" si="44"/>
        <v>25 to 34 yrs</v>
      </c>
      <c r="R530" t="s">
        <v>20</v>
      </c>
    </row>
    <row r="531" spans="1:18">
      <c r="A531">
        <v>13233</v>
      </c>
      <c r="B531" t="s">
        <v>13</v>
      </c>
      <c r="C531" t="str">
        <f t="shared" si="40"/>
        <v>Married</v>
      </c>
      <c r="D531" t="s">
        <v>13</v>
      </c>
      <c r="E531" t="str">
        <f t="shared" si="41"/>
        <v>Male</v>
      </c>
      <c r="F531" s="3">
        <v>60000</v>
      </c>
      <c r="G531" s="3" t="str">
        <f t="shared" si="42"/>
        <v>Middle Class</v>
      </c>
      <c r="H531">
        <v>2</v>
      </c>
      <c r="I531" t="s">
        <v>21</v>
      </c>
      <c r="J531" t="s">
        <v>23</v>
      </c>
      <c r="K531" t="s">
        <v>17</v>
      </c>
      <c r="L531" t="str">
        <f t="shared" si="43"/>
        <v>Home Owner</v>
      </c>
      <c r="M531">
        <v>1</v>
      </c>
      <c r="N531" t="s">
        <v>33</v>
      </c>
      <c r="O531" t="s">
        <v>35</v>
      </c>
      <c r="P531">
        <v>57</v>
      </c>
      <c r="Q531" t="str">
        <f t="shared" si="44"/>
        <v>55 to 64 yrs</v>
      </c>
      <c r="R531" t="s">
        <v>17</v>
      </c>
    </row>
    <row r="532" spans="1:18">
      <c r="A532">
        <v>25909</v>
      </c>
      <c r="B532" t="s">
        <v>13</v>
      </c>
      <c r="C532" t="str">
        <f t="shared" si="40"/>
        <v>Married</v>
      </c>
      <c r="D532" t="s">
        <v>13</v>
      </c>
      <c r="E532" t="str">
        <f t="shared" si="41"/>
        <v>Male</v>
      </c>
      <c r="F532" s="3">
        <v>60000</v>
      </c>
      <c r="G532" s="3" t="str">
        <f t="shared" si="42"/>
        <v>Middle Class</v>
      </c>
      <c r="H532">
        <v>0</v>
      </c>
      <c r="I532" t="s">
        <v>21</v>
      </c>
      <c r="J532" t="s">
        <v>16</v>
      </c>
      <c r="K532" t="s">
        <v>17</v>
      </c>
      <c r="L532" t="str">
        <f t="shared" si="43"/>
        <v>Home Owner</v>
      </c>
      <c r="M532">
        <v>1</v>
      </c>
      <c r="N532" t="s">
        <v>26</v>
      </c>
      <c r="O532" t="s">
        <v>35</v>
      </c>
      <c r="P532">
        <v>27</v>
      </c>
      <c r="Q532" t="str">
        <f t="shared" si="44"/>
        <v>25 to 34 yrs</v>
      </c>
      <c r="R532" t="s">
        <v>17</v>
      </c>
    </row>
    <row r="533" spans="1:18">
      <c r="A533">
        <v>14092</v>
      </c>
      <c r="B533" t="s">
        <v>25</v>
      </c>
      <c r="C533" t="str">
        <f t="shared" si="40"/>
        <v>Single</v>
      </c>
      <c r="D533" t="s">
        <v>13</v>
      </c>
      <c r="E533" t="str">
        <f t="shared" si="41"/>
        <v>Male</v>
      </c>
      <c r="F533" s="3">
        <v>30000</v>
      </c>
      <c r="G533" s="3" t="str">
        <f t="shared" si="42"/>
        <v>Lower Class</v>
      </c>
      <c r="H533">
        <v>0</v>
      </c>
      <c r="I533" t="s">
        <v>32</v>
      </c>
      <c r="J533" t="s">
        <v>22</v>
      </c>
      <c r="K533" t="s">
        <v>17</v>
      </c>
      <c r="L533" t="str">
        <f t="shared" si="43"/>
        <v>Home Owner</v>
      </c>
      <c r="M533">
        <v>2</v>
      </c>
      <c r="N533" t="s">
        <v>26</v>
      </c>
      <c r="O533" t="s">
        <v>35</v>
      </c>
      <c r="P533">
        <v>28</v>
      </c>
      <c r="Q533" t="str">
        <f t="shared" si="44"/>
        <v>25 to 34 yrs</v>
      </c>
      <c r="R533" t="s">
        <v>20</v>
      </c>
    </row>
    <row r="534" spans="1:18">
      <c r="A534">
        <v>29143</v>
      </c>
      <c r="B534" t="s">
        <v>25</v>
      </c>
      <c r="C534" t="str">
        <f t="shared" si="40"/>
        <v>Single</v>
      </c>
      <c r="D534" t="s">
        <v>14</v>
      </c>
      <c r="E534" t="str">
        <f t="shared" si="41"/>
        <v>Female</v>
      </c>
      <c r="F534" s="3">
        <v>60000</v>
      </c>
      <c r="G534" s="3" t="str">
        <f t="shared" si="42"/>
        <v>Middle Class</v>
      </c>
      <c r="H534">
        <v>1</v>
      </c>
      <c r="I534" t="s">
        <v>15</v>
      </c>
      <c r="J534" t="s">
        <v>23</v>
      </c>
      <c r="K534" t="s">
        <v>20</v>
      </c>
      <c r="L534" t="str">
        <f t="shared" si="43"/>
        <v>Tenant</v>
      </c>
      <c r="M534">
        <v>1</v>
      </c>
      <c r="N534" t="s">
        <v>18</v>
      </c>
      <c r="O534" t="s">
        <v>35</v>
      </c>
      <c r="P534">
        <v>44</v>
      </c>
      <c r="Q534" t="str">
        <f t="shared" si="44"/>
        <v>35 to 44 yrs</v>
      </c>
      <c r="R534" t="s">
        <v>17</v>
      </c>
    </row>
    <row r="535" spans="1:18">
      <c r="A535">
        <v>24941</v>
      </c>
      <c r="B535" t="s">
        <v>13</v>
      </c>
      <c r="C535" t="str">
        <f t="shared" si="40"/>
        <v>Married</v>
      </c>
      <c r="D535" t="s">
        <v>13</v>
      </c>
      <c r="E535" t="str">
        <f t="shared" si="41"/>
        <v>Male</v>
      </c>
      <c r="F535" s="3">
        <v>60000</v>
      </c>
      <c r="G535" s="3" t="str">
        <f t="shared" si="42"/>
        <v>Middle Class</v>
      </c>
      <c r="H535">
        <v>3</v>
      </c>
      <c r="I535" t="s">
        <v>15</v>
      </c>
      <c r="J535" t="s">
        <v>31</v>
      </c>
      <c r="K535" t="s">
        <v>17</v>
      </c>
      <c r="L535" t="str">
        <f t="shared" si="43"/>
        <v>Home Owner</v>
      </c>
      <c r="M535">
        <v>2</v>
      </c>
      <c r="N535" t="s">
        <v>33</v>
      </c>
      <c r="O535" t="s">
        <v>35</v>
      </c>
      <c r="P535">
        <v>66</v>
      </c>
      <c r="Q535" t="str">
        <f t="shared" si="44"/>
        <v>65 yrs &amp; Above</v>
      </c>
      <c r="R535" t="s">
        <v>20</v>
      </c>
    </row>
    <row r="536" spans="1:18">
      <c r="A536">
        <v>24637</v>
      </c>
      <c r="B536" t="s">
        <v>13</v>
      </c>
      <c r="C536" t="str">
        <f t="shared" si="40"/>
        <v>Married</v>
      </c>
      <c r="D536" t="s">
        <v>13</v>
      </c>
      <c r="E536" t="str">
        <f t="shared" si="41"/>
        <v>Male</v>
      </c>
      <c r="F536" s="3">
        <v>40000</v>
      </c>
      <c r="G536" s="3" t="str">
        <f t="shared" si="42"/>
        <v>Lower Class</v>
      </c>
      <c r="H536">
        <v>4</v>
      </c>
      <c r="I536" t="s">
        <v>30</v>
      </c>
      <c r="J536" t="s">
        <v>23</v>
      </c>
      <c r="K536" t="s">
        <v>17</v>
      </c>
      <c r="L536" t="str">
        <f t="shared" si="43"/>
        <v>Home Owner</v>
      </c>
      <c r="M536">
        <v>2</v>
      </c>
      <c r="N536" t="s">
        <v>33</v>
      </c>
      <c r="O536" t="s">
        <v>35</v>
      </c>
      <c r="P536">
        <v>64</v>
      </c>
      <c r="Q536" t="str">
        <f t="shared" si="44"/>
        <v>55 to 64 yrs</v>
      </c>
      <c r="R536" t="s">
        <v>20</v>
      </c>
    </row>
    <row r="537" spans="1:18">
      <c r="A537">
        <v>23893</v>
      </c>
      <c r="B537" t="s">
        <v>13</v>
      </c>
      <c r="C537" t="str">
        <f t="shared" si="40"/>
        <v>Married</v>
      </c>
      <c r="D537" t="s">
        <v>13</v>
      </c>
      <c r="E537" t="str">
        <f t="shared" si="41"/>
        <v>Male</v>
      </c>
      <c r="F537" s="3">
        <v>50000</v>
      </c>
      <c r="G537" s="3" t="str">
        <f t="shared" si="42"/>
        <v>Lower Class</v>
      </c>
      <c r="H537">
        <v>3</v>
      </c>
      <c r="I537" t="s">
        <v>15</v>
      </c>
      <c r="J537" t="s">
        <v>16</v>
      </c>
      <c r="K537" t="s">
        <v>17</v>
      </c>
      <c r="L537" t="str">
        <f t="shared" si="43"/>
        <v>Home Owner</v>
      </c>
      <c r="M537">
        <v>3</v>
      </c>
      <c r="N537" t="s">
        <v>33</v>
      </c>
      <c r="O537" t="s">
        <v>35</v>
      </c>
      <c r="P537">
        <v>41</v>
      </c>
      <c r="Q537" t="str">
        <f t="shared" si="44"/>
        <v>35 to 44 yrs</v>
      </c>
      <c r="R537" t="s">
        <v>20</v>
      </c>
    </row>
    <row r="538" spans="1:18">
      <c r="A538">
        <v>13907</v>
      </c>
      <c r="B538" t="s">
        <v>25</v>
      </c>
      <c r="C538" t="str">
        <f t="shared" si="40"/>
        <v>Single</v>
      </c>
      <c r="D538" t="s">
        <v>14</v>
      </c>
      <c r="E538" t="str">
        <f t="shared" si="41"/>
        <v>Female</v>
      </c>
      <c r="F538" s="3">
        <v>80000</v>
      </c>
      <c r="G538" s="3" t="str">
        <f t="shared" si="42"/>
        <v>Middle Class</v>
      </c>
      <c r="H538">
        <v>3</v>
      </c>
      <c r="I538" t="s">
        <v>15</v>
      </c>
      <c r="J538" t="s">
        <v>16</v>
      </c>
      <c r="K538" t="s">
        <v>17</v>
      </c>
      <c r="L538" t="str">
        <f t="shared" si="43"/>
        <v>Home Owner</v>
      </c>
      <c r="M538">
        <v>1</v>
      </c>
      <c r="N538" t="s">
        <v>18</v>
      </c>
      <c r="O538" t="s">
        <v>35</v>
      </c>
      <c r="P538">
        <v>41</v>
      </c>
      <c r="Q538" t="str">
        <f t="shared" si="44"/>
        <v>35 to 44 yrs</v>
      </c>
      <c r="R538" t="s">
        <v>17</v>
      </c>
    </row>
    <row r="539" spans="1:18">
      <c r="A539">
        <v>14900</v>
      </c>
      <c r="B539" t="s">
        <v>13</v>
      </c>
      <c r="C539" t="str">
        <f t="shared" si="40"/>
        <v>Married</v>
      </c>
      <c r="D539" t="s">
        <v>14</v>
      </c>
      <c r="E539" t="str">
        <f t="shared" si="41"/>
        <v>Female</v>
      </c>
      <c r="F539" s="3">
        <v>40000</v>
      </c>
      <c r="G539" s="3" t="str">
        <f t="shared" si="42"/>
        <v>Lower Class</v>
      </c>
      <c r="H539">
        <v>1</v>
      </c>
      <c r="I539" t="s">
        <v>21</v>
      </c>
      <c r="J539" t="s">
        <v>22</v>
      </c>
      <c r="K539" t="s">
        <v>17</v>
      </c>
      <c r="L539" t="str">
        <f t="shared" si="43"/>
        <v>Home Owner</v>
      </c>
      <c r="M539">
        <v>1</v>
      </c>
      <c r="N539" t="s">
        <v>29</v>
      </c>
      <c r="O539" t="s">
        <v>35</v>
      </c>
      <c r="P539">
        <v>49</v>
      </c>
      <c r="Q539" t="str">
        <f t="shared" si="44"/>
        <v>45 to 54 yrs</v>
      </c>
      <c r="R539" t="s">
        <v>17</v>
      </c>
    </row>
    <row r="540" spans="1:18">
      <c r="A540">
        <v>11262</v>
      </c>
      <c r="B540" t="s">
        <v>13</v>
      </c>
      <c r="C540" t="str">
        <f t="shared" si="40"/>
        <v>Married</v>
      </c>
      <c r="D540" t="s">
        <v>14</v>
      </c>
      <c r="E540" t="str">
        <f t="shared" si="41"/>
        <v>Female</v>
      </c>
      <c r="F540" s="3">
        <v>80000</v>
      </c>
      <c r="G540" s="3" t="str">
        <f t="shared" si="42"/>
        <v>Middle Class</v>
      </c>
      <c r="H540">
        <v>4</v>
      </c>
      <c r="I540" t="s">
        <v>15</v>
      </c>
      <c r="J540" t="s">
        <v>31</v>
      </c>
      <c r="K540" t="s">
        <v>17</v>
      </c>
      <c r="L540" t="str">
        <f t="shared" si="43"/>
        <v>Home Owner</v>
      </c>
      <c r="M540">
        <v>0</v>
      </c>
      <c r="N540" t="s">
        <v>18</v>
      </c>
      <c r="O540" t="s">
        <v>35</v>
      </c>
      <c r="P540">
        <v>42</v>
      </c>
      <c r="Q540" t="str">
        <f t="shared" si="44"/>
        <v>35 to 44 yrs</v>
      </c>
      <c r="R540" t="s">
        <v>20</v>
      </c>
    </row>
    <row r="541" spans="1:18">
      <c r="A541">
        <v>22294</v>
      </c>
      <c r="B541" t="s">
        <v>25</v>
      </c>
      <c r="C541" t="str">
        <f t="shared" si="40"/>
        <v>Single</v>
      </c>
      <c r="D541" t="s">
        <v>14</v>
      </c>
      <c r="E541" t="str">
        <f t="shared" si="41"/>
        <v>Female</v>
      </c>
      <c r="F541" s="3">
        <v>70000</v>
      </c>
      <c r="G541" s="3" t="str">
        <f t="shared" si="42"/>
        <v>Middle Class</v>
      </c>
      <c r="H541">
        <v>0</v>
      </c>
      <c r="I541" t="s">
        <v>15</v>
      </c>
      <c r="J541" t="s">
        <v>23</v>
      </c>
      <c r="K541" t="s">
        <v>20</v>
      </c>
      <c r="L541" t="str">
        <f t="shared" si="43"/>
        <v>Tenant</v>
      </c>
      <c r="M541">
        <v>1</v>
      </c>
      <c r="N541" t="s">
        <v>24</v>
      </c>
      <c r="O541" t="s">
        <v>35</v>
      </c>
      <c r="P541">
        <v>37</v>
      </c>
      <c r="Q541" t="str">
        <f t="shared" si="44"/>
        <v>35 to 44 yrs</v>
      </c>
      <c r="R541" t="s">
        <v>17</v>
      </c>
    </row>
    <row r="542" spans="1:18">
      <c r="A542">
        <v>12195</v>
      </c>
      <c r="B542" t="s">
        <v>25</v>
      </c>
      <c r="C542" t="str">
        <f t="shared" si="40"/>
        <v>Single</v>
      </c>
      <c r="D542" t="s">
        <v>14</v>
      </c>
      <c r="E542" t="str">
        <f t="shared" si="41"/>
        <v>Female</v>
      </c>
      <c r="F542" s="3">
        <v>70000</v>
      </c>
      <c r="G542" s="3" t="str">
        <f t="shared" si="42"/>
        <v>Middle Class</v>
      </c>
      <c r="H542">
        <v>3</v>
      </c>
      <c r="I542" t="s">
        <v>34</v>
      </c>
      <c r="J542" t="s">
        <v>31</v>
      </c>
      <c r="K542" t="s">
        <v>17</v>
      </c>
      <c r="L542" t="str">
        <f t="shared" si="43"/>
        <v>Home Owner</v>
      </c>
      <c r="M542">
        <v>2</v>
      </c>
      <c r="N542" t="s">
        <v>29</v>
      </c>
      <c r="O542" t="s">
        <v>35</v>
      </c>
      <c r="P542">
        <v>52</v>
      </c>
      <c r="Q542" t="str">
        <f t="shared" si="44"/>
        <v>45 to 54 yrs</v>
      </c>
      <c r="R542" t="s">
        <v>20</v>
      </c>
    </row>
    <row r="543" spans="1:18">
      <c r="A543">
        <v>25375</v>
      </c>
      <c r="B543" t="s">
        <v>13</v>
      </c>
      <c r="C543" t="str">
        <f t="shared" si="40"/>
        <v>Married</v>
      </c>
      <c r="D543" t="s">
        <v>13</v>
      </c>
      <c r="E543" t="str">
        <f t="shared" si="41"/>
        <v>Male</v>
      </c>
      <c r="F543" s="3">
        <v>50000</v>
      </c>
      <c r="G543" s="3" t="str">
        <f t="shared" si="42"/>
        <v>Lower Class</v>
      </c>
      <c r="H543">
        <v>1</v>
      </c>
      <c r="I543" t="s">
        <v>34</v>
      </c>
      <c r="J543" t="s">
        <v>16</v>
      </c>
      <c r="K543" t="s">
        <v>17</v>
      </c>
      <c r="L543" t="str">
        <f t="shared" si="43"/>
        <v>Home Owner</v>
      </c>
      <c r="M543">
        <v>0</v>
      </c>
      <c r="N543" t="s">
        <v>29</v>
      </c>
      <c r="O543" t="s">
        <v>35</v>
      </c>
      <c r="P543">
        <v>34</v>
      </c>
      <c r="Q543" t="str">
        <f t="shared" si="44"/>
        <v>25 to 34 yrs</v>
      </c>
      <c r="R543" t="s">
        <v>20</v>
      </c>
    </row>
    <row r="544" spans="1:18">
      <c r="A544">
        <v>11143</v>
      </c>
      <c r="B544" t="s">
        <v>13</v>
      </c>
      <c r="C544" t="str">
        <f t="shared" si="40"/>
        <v>Married</v>
      </c>
      <c r="D544" t="s">
        <v>13</v>
      </c>
      <c r="E544" t="str">
        <f t="shared" si="41"/>
        <v>Male</v>
      </c>
      <c r="F544" s="3">
        <v>40000</v>
      </c>
      <c r="G544" s="3" t="str">
        <f t="shared" si="42"/>
        <v>Lower Class</v>
      </c>
      <c r="H544">
        <v>0</v>
      </c>
      <c r="I544" t="s">
        <v>30</v>
      </c>
      <c r="J544" t="s">
        <v>16</v>
      </c>
      <c r="K544" t="s">
        <v>17</v>
      </c>
      <c r="L544" t="str">
        <f t="shared" si="43"/>
        <v>Home Owner</v>
      </c>
      <c r="M544">
        <v>2</v>
      </c>
      <c r="N544" t="s">
        <v>26</v>
      </c>
      <c r="O544" t="s">
        <v>35</v>
      </c>
      <c r="P544">
        <v>29</v>
      </c>
      <c r="Q544" t="str">
        <f t="shared" si="44"/>
        <v>25 to 34 yrs</v>
      </c>
      <c r="R544" t="s">
        <v>20</v>
      </c>
    </row>
    <row r="545" spans="1:18">
      <c r="A545">
        <v>25898</v>
      </c>
      <c r="B545" t="s">
        <v>13</v>
      </c>
      <c r="C545" t="str">
        <f t="shared" si="40"/>
        <v>Married</v>
      </c>
      <c r="D545" t="s">
        <v>14</v>
      </c>
      <c r="E545" t="str">
        <f t="shared" si="41"/>
        <v>Female</v>
      </c>
      <c r="F545" s="3">
        <v>70000</v>
      </c>
      <c r="G545" s="3" t="str">
        <f t="shared" si="42"/>
        <v>Middle Class</v>
      </c>
      <c r="H545">
        <v>2</v>
      </c>
      <c r="I545" t="s">
        <v>30</v>
      </c>
      <c r="J545" t="s">
        <v>23</v>
      </c>
      <c r="K545" t="s">
        <v>17</v>
      </c>
      <c r="L545" t="str">
        <f t="shared" si="43"/>
        <v>Home Owner</v>
      </c>
      <c r="M545">
        <v>2</v>
      </c>
      <c r="N545" t="s">
        <v>24</v>
      </c>
      <c r="O545" t="s">
        <v>35</v>
      </c>
      <c r="P545">
        <v>53</v>
      </c>
      <c r="Q545" t="str">
        <f t="shared" si="44"/>
        <v>45 to 54 yrs</v>
      </c>
      <c r="R545" t="s">
        <v>20</v>
      </c>
    </row>
    <row r="546" spans="1:18">
      <c r="A546">
        <v>24397</v>
      </c>
      <c r="B546" t="s">
        <v>25</v>
      </c>
      <c r="C546" t="str">
        <f t="shared" si="40"/>
        <v>Single</v>
      </c>
      <c r="D546" t="s">
        <v>13</v>
      </c>
      <c r="E546" t="str">
        <f t="shared" si="41"/>
        <v>Male</v>
      </c>
      <c r="F546" s="3">
        <v>120000</v>
      </c>
      <c r="G546" s="3" t="str">
        <f t="shared" si="42"/>
        <v>Upper Middle Class</v>
      </c>
      <c r="H546">
        <v>2</v>
      </c>
      <c r="I546" t="s">
        <v>15</v>
      </c>
      <c r="J546" t="s">
        <v>31</v>
      </c>
      <c r="K546" t="s">
        <v>20</v>
      </c>
      <c r="L546" t="str">
        <f t="shared" si="43"/>
        <v>Tenant</v>
      </c>
      <c r="M546">
        <v>4</v>
      </c>
      <c r="N546" t="s">
        <v>29</v>
      </c>
      <c r="O546" t="s">
        <v>35</v>
      </c>
      <c r="P546">
        <v>40</v>
      </c>
      <c r="Q546" t="str">
        <f t="shared" si="44"/>
        <v>35 to 44 yrs</v>
      </c>
      <c r="R546" t="s">
        <v>20</v>
      </c>
    </row>
    <row r="547" spans="1:18">
      <c r="A547">
        <v>19758</v>
      </c>
      <c r="B547" t="s">
        <v>25</v>
      </c>
      <c r="C547" t="str">
        <f t="shared" si="40"/>
        <v>Single</v>
      </c>
      <c r="D547" t="s">
        <v>13</v>
      </c>
      <c r="E547" t="str">
        <f t="shared" si="41"/>
        <v>Male</v>
      </c>
      <c r="F547" s="3">
        <v>60000</v>
      </c>
      <c r="G547" s="3" t="str">
        <f t="shared" si="42"/>
        <v>Middle Class</v>
      </c>
      <c r="H547">
        <v>0</v>
      </c>
      <c r="I547" t="s">
        <v>21</v>
      </c>
      <c r="J547" t="s">
        <v>16</v>
      </c>
      <c r="K547" t="s">
        <v>20</v>
      </c>
      <c r="L547" t="str">
        <f t="shared" si="43"/>
        <v>Tenant</v>
      </c>
      <c r="M547">
        <v>2</v>
      </c>
      <c r="N547" t="s">
        <v>29</v>
      </c>
      <c r="O547" t="s">
        <v>35</v>
      </c>
      <c r="P547">
        <v>29</v>
      </c>
      <c r="Q547" t="str">
        <f t="shared" si="44"/>
        <v>25 to 34 yrs</v>
      </c>
      <c r="R547" t="s">
        <v>20</v>
      </c>
    </row>
    <row r="548" spans="1:18">
      <c r="A548">
        <v>15529</v>
      </c>
      <c r="B548" t="s">
        <v>13</v>
      </c>
      <c r="C548" t="str">
        <f t="shared" si="40"/>
        <v>Married</v>
      </c>
      <c r="D548" t="s">
        <v>13</v>
      </c>
      <c r="E548" t="str">
        <f t="shared" si="41"/>
        <v>Male</v>
      </c>
      <c r="F548" s="3">
        <v>60000</v>
      </c>
      <c r="G548" s="3" t="str">
        <f t="shared" si="42"/>
        <v>Middle Class</v>
      </c>
      <c r="H548">
        <v>4</v>
      </c>
      <c r="I548" t="s">
        <v>15</v>
      </c>
      <c r="J548" t="s">
        <v>23</v>
      </c>
      <c r="K548" t="s">
        <v>17</v>
      </c>
      <c r="L548" t="str">
        <f t="shared" si="43"/>
        <v>Home Owner</v>
      </c>
      <c r="M548">
        <v>2</v>
      </c>
      <c r="N548" t="s">
        <v>24</v>
      </c>
      <c r="O548" t="s">
        <v>35</v>
      </c>
      <c r="P548">
        <v>43</v>
      </c>
      <c r="Q548" t="str">
        <f t="shared" si="44"/>
        <v>35 to 44 yrs</v>
      </c>
      <c r="R548" t="s">
        <v>17</v>
      </c>
    </row>
    <row r="549" spans="1:18">
      <c r="A549">
        <v>19884</v>
      </c>
      <c r="B549" t="s">
        <v>13</v>
      </c>
      <c r="C549" t="str">
        <f t="shared" si="40"/>
        <v>Married</v>
      </c>
      <c r="D549" t="s">
        <v>13</v>
      </c>
      <c r="E549" t="str">
        <f t="shared" si="41"/>
        <v>Male</v>
      </c>
      <c r="F549" s="3">
        <v>60000</v>
      </c>
      <c r="G549" s="3" t="str">
        <f t="shared" si="42"/>
        <v>Middle Class</v>
      </c>
      <c r="H549">
        <v>2</v>
      </c>
      <c r="I549" t="s">
        <v>30</v>
      </c>
      <c r="J549" t="s">
        <v>23</v>
      </c>
      <c r="K549" t="s">
        <v>17</v>
      </c>
      <c r="L549" t="str">
        <f t="shared" si="43"/>
        <v>Home Owner</v>
      </c>
      <c r="M549">
        <v>2</v>
      </c>
      <c r="N549" t="s">
        <v>24</v>
      </c>
      <c r="O549" t="s">
        <v>35</v>
      </c>
      <c r="P549">
        <v>55</v>
      </c>
      <c r="Q549" t="str">
        <f t="shared" si="44"/>
        <v>55 to 64 yrs</v>
      </c>
      <c r="R549" t="s">
        <v>17</v>
      </c>
    </row>
    <row r="550" spans="1:18">
      <c r="A550">
        <v>18674</v>
      </c>
      <c r="B550" t="s">
        <v>25</v>
      </c>
      <c r="C550" t="str">
        <f t="shared" si="40"/>
        <v>Single</v>
      </c>
      <c r="D550" t="s">
        <v>14</v>
      </c>
      <c r="E550" t="str">
        <f t="shared" si="41"/>
        <v>Female</v>
      </c>
      <c r="F550" s="3">
        <v>80000</v>
      </c>
      <c r="G550" s="3" t="str">
        <f t="shared" si="42"/>
        <v>Middle Class</v>
      </c>
      <c r="H550">
        <v>4</v>
      </c>
      <c r="I550" t="s">
        <v>34</v>
      </c>
      <c r="J550" t="s">
        <v>16</v>
      </c>
      <c r="K550" t="s">
        <v>20</v>
      </c>
      <c r="L550" t="str">
        <f t="shared" si="43"/>
        <v>Tenant</v>
      </c>
      <c r="M550">
        <v>0</v>
      </c>
      <c r="N550" t="s">
        <v>18</v>
      </c>
      <c r="O550" t="s">
        <v>35</v>
      </c>
      <c r="P550">
        <v>48</v>
      </c>
      <c r="Q550" t="str">
        <f t="shared" si="44"/>
        <v>45 to 54 yrs</v>
      </c>
      <c r="R550" t="s">
        <v>20</v>
      </c>
    </row>
    <row r="551" spans="1:18">
      <c r="A551">
        <v>13453</v>
      </c>
      <c r="B551" t="s">
        <v>13</v>
      </c>
      <c r="C551" t="str">
        <f t="shared" si="40"/>
        <v>Married</v>
      </c>
      <c r="D551" t="s">
        <v>14</v>
      </c>
      <c r="E551" t="str">
        <f t="shared" si="41"/>
        <v>Female</v>
      </c>
      <c r="F551" s="3">
        <v>130000</v>
      </c>
      <c r="G551" s="3" t="str">
        <f t="shared" si="42"/>
        <v>Upper Middle Class</v>
      </c>
      <c r="H551">
        <v>3</v>
      </c>
      <c r="I551" t="s">
        <v>15</v>
      </c>
      <c r="J551" t="s">
        <v>31</v>
      </c>
      <c r="K551" t="s">
        <v>17</v>
      </c>
      <c r="L551" t="str">
        <f t="shared" si="43"/>
        <v>Home Owner</v>
      </c>
      <c r="M551">
        <v>3</v>
      </c>
      <c r="N551" t="s">
        <v>18</v>
      </c>
      <c r="O551" t="s">
        <v>35</v>
      </c>
      <c r="P551">
        <v>45</v>
      </c>
      <c r="Q551" t="str">
        <f t="shared" si="44"/>
        <v>45 to 54 yrs</v>
      </c>
      <c r="R551" t="s">
        <v>17</v>
      </c>
    </row>
    <row r="552" spans="1:18">
      <c r="A552">
        <v>14063</v>
      </c>
      <c r="B552" t="s">
        <v>25</v>
      </c>
      <c r="C552" t="str">
        <f t="shared" si="40"/>
        <v>Single</v>
      </c>
      <c r="D552" t="s">
        <v>14</v>
      </c>
      <c r="E552" t="str">
        <f t="shared" si="41"/>
        <v>Female</v>
      </c>
      <c r="F552" s="3">
        <v>70000</v>
      </c>
      <c r="G552" s="3" t="str">
        <f t="shared" si="42"/>
        <v>Middle Class</v>
      </c>
      <c r="H552">
        <v>0</v>
      </c>
      <c r="I552" t="s">
        <v>15</v>
      </c>
      <c r="J552" t="s">
        <v>23</v>
      </c>
      <c r="K552" t="s">
        <v>20</v>
      </c>
      <c r="L552" t="str">
        <f t="shared" si="43"/>
        <v>Tenant</v>
      </c>
      <c r="M552">
        <v>1</v>
      </c>
      <c r="N552" t="s">
        <v>18</v>
      </c>
      <c r="O552" t="s">
        <v>27</v>
      </c>
      <c r="P552">
        <v>42</v>
      </c>
      <c r="Q552" t="str">
        <f t="shared" si="44"/>
        <v>35 to 44 yrs</v>
      </c>
      <c r="R552" t="s">
        <v>17</v>
      </c>
    </row>
    <row r="553" spans="1:18">
      <c r="A553">
        <v>27393</v>
      </c>
      <c r="B553" t="s">
        <v>13</v>
      </c>
      <c r="C553" t="str">
        <f t="shared" si="40"/>
        <v>Married</v>
      </c>
      <c r="D553" t="s">
        <v>14</v>
      </c>
      <c r="E553" t="str">
        <f t="shared" si="41"/>
        <v>Female</v>
      </c>
      <c r="F553" s="3">
        <v>50000</v>
      </c>
      <c r="G553" s="3" t="str">
        <f t="shared" si="42"/>
        <v>Lower Class</v>
      </c>
      <c r="H553">
        <v>4</v>
      </c>
      <c r="I553" t="s">
        <v>15</v>
      </c>
      <c r="J553" t="s">
        <v>31</v>
      </c>
      <c r="K553" t="s">
        <v>17</v>
      </c>
      <c r="L553" t="str">
        <f t="shared" si="43"/>
        <v>Home Owner</v>
      </c>
      <c r="M553">
        <v>2</v>
      </c>
      <c r="N553" t="s">
        <v>33</v>
      </c>
      <c r="O553" t="s">
        <v>35</v>
      </c>
      <c r="P553">
        <v>63</v>
      </c>
      <c r="Q553" t="str">
        <f t="shared" si="44"/>
        <v>55 to 64 yrs</v>
      </c>
      <c r="R553" t="s">
        <v>20</v>
      </c>
    </row>
    <row r="554" spans="1:18">
      <c r="A554">
        <v>14417</v>
      </c>
      <c r="B554" t="s">
        <v>25</v>
      </c>
      <c r="C554" t="str">
        <f t="shared" si="40"/>
        <v>Single</v>
      </c>
      <c r="D554" t="s">
        <v>13</v>
      </c>
      <c r="E554" t="str">
        <f t="shared" si="41"/>
        <v>Male</v>
      </c>
      <c r="F554" s="3">
        <v>60000</v>
      </c>
      <c r="G554" s="3" t="str">
        <f t="shared" si="42"/>
        <v>Middle Class</v>
      </c>
      <c r="H554">
        <v>3</v>
      </c>
      <c r="I554" t="s">
        <v>30</v>
      </c>
      <c r="J554" t="s">
        <v>23</v>
      </c>
      <c r="K554" t="s">
        <v>17</v>
      </c>
      <c r="L554" t="str">
        <f t="shared" si="43"/>
        <v>Home Owner</v>
      </c>
      <c r="M554">
        <v>2</v>
      </c>
      <c r="N554" t="s">
        <v>33</v>
      </c>
      <c r="O554" t="s">
        <v>35</v>
      </c>
      <c r="P554">
        <v>54</v>
      </c>
      <c r="Q554" t="str">
        <f t="shared" si="44"/>
        <v>45 to 54 yrs</v>
      </c>
      <c r="R554" t="s">
        <v>17</v>
      </c>
    </row>
    <row r="555" spans="1:18">
      <c r="A555">
        <v>17533</v>
      </c>
      <c r="B555" t="s">
        <v>13</v>
      </c>
      <c r="C555" t="str">
        <f t="shared" si="40"/>
        <v>Married</v>
      </c>
      <c r="D555" t="s">
        <v>13</v>
      </c>
      <c r="E555" t="str">
        <f t="shared" si="41"/>
        <v>Male</v>
      </c>
      <c r="F555" s="3">
        <v>40000</v>
      </c>
      <c r="G555" s="3" t="str">
        <f t="shared" si="42"/>
        <v>Lower Class</v>
      </c>
      <c r="H555">
        <v>3</v>
      </c>
      <c r="I555" t="s">
        <v>21</v>
      </c>
      <c r="J555" t="s">
        <v>23</v>
      </c>
      <c r="K555" t="s">
        <v>20</v>
      </c>
      <c r="L555" t="str">
        <f t="shared" si="43"/>
        <v>Tenant</v>
      </c>
      <c r="M555">
        <v>2</v>
      </c>
      <c r="N555" t="s">
        <v>26</v>
      </c>
      <c r="O555" t="s">
        <v>35</v>
      </c>
      <c r="P555">
        <v>73</v>
      </c>
      <c r="Q555" t="str">
        <f t="shared" si="44"/>
        <v>65 yrs &amp; Above</v>
      </c>
      <c r="R555" t="s">
        <v>17</v>
      </c>
    </row>
    <row r="556" spans="1:18">
      <c r="A556">
        <v>18580</v>
      </c>
      <c r="B556" t="s">
        <v>13</v>
      </c>
      <c r="C556" t="str">
        <f t="shared" si="40"/>
        <v>Married</v>
      </c>
      <c r="D556" t="s">
        <v>14</v>
      </c>
      <c r="E556" t="str">
        <f t="shared" si="41"/>
        <v>Female</v>
      </c>
      <c r="F556" s="3">
        <v>60000</v>
      </c>
      <c r="G556" s="3" t="str">
        <f t="shared" si="42"/>
        <v>Middle Class</v>
      </c>
      <c r="H556">
        <v>2</v>
      </c>
      <c r="I556" t="s">
        <v>34</v>
      </c>
      <c r="J556" t="s">
        <v>23</v>
      </c>
      <c r="K556" t="s">
        <v>17</v>
      </c>
      <c r="L556" t="str">
        <f t="shared" si="43"/>
        <v>Home Owner</v>
      </c>
      <c r="M556">
        <v>0</v>
      </c>
      <c r="N556" t="s">
        <v>24</v>
      </c>
      <c r="O556" t="s">
        <v>35</v>
      </c>
      <c r="P556">
        <v>40</v>
      </c>
      <c r="Q556" t="str">
        <f t="shared" si="44"/>
        <v>35 to 44 yrs</v>
      </c>
      <c r="R556" t="s">
        <v>17</v>
      </c>
    </row>
    <row r="557" spans="1:18">
      <c r="A557">
        <v>17025</v>
      </c>
      <c r="B557" t="s">
        <v>25</v>
      </c>
      <c r="C557" t="str">
        <f t="shared" si="40"/>
        <v>Single</v>
      </c>
      <c r="D557" t="s">
        <v>13</v>
      </c>
      <c r="E557" t="str">
        <f t="shared" si="41"/>
        <v>Male</v>
      </c>
      <c r="F557" s="3">
        <v>50000</v>
      </c>
      <c r="G557" s="3" t="str">
        <f t="shared" si="42"/>
        <v>Lower Class</v>
      </c>
      <c r="H557">
        <v>0</v>
      </c>
      <c r="I557" t="s">
        <v>21</v>
      </c>
      <c r="J557" t="s">
        <v>16</v>
      </c>
      <c r="K557" t="s">
        <v>20</v>
      </c>
      <c r="L557" t="str">
        <f t="shared" si="43"/>
        <v>Tenant</v>
      </c>
      <c r="M557">
        <v>1</v>
      </c>
      <c r="N557" t="s">
        <v>24</v>
      </c>
      <c r="O557" t="s">
        <v>35</v>
      </c>
      <c r="P557">
        <v>39</v>
      </c>
      <c r="Q557" t="str">
        <f t="shared" si="44"/>
        <v>35 to 44 yrs</v>
      </c>
      <c r="R557" t="s">
        <v>17</v>
      </c>
    </row>
    <row r="558" spans="1:18">
      <c r="A558">
        <v>25293</v>
      </c>
      <c r="B558" t="s">
        <v>13</v>
      </c>
      <c r="C558" t="str">
        <f t="shared" si="40"/>
        <v>Married</v>
      </c>
      <c r="D558" t="s">
        <v>13</v>
      </c>
      <c r="E558" t="str">
        <f t="shared" si="41"/>
        <v>Male</v>
      </c>
      <c r="F558" s="3">
        <v>80000</v>
      </c>
      <c r="G558" s="3" t="str">
        <f t="shared" si="42"/>
        <v>Middle Class</v>
      </c>
      <c r="H558">
        <v>4</v>
      </c>
      <c r="I558" t="s">
        <v>15</v>
      </c>
      <c r="J558" t="s">
        <v>31</v>
      </c>
      <c r="K558" t="s">
        <v>17</v>
      </c>
      <c r="L558" t="str">
        <f t="shared" si="43"/>
        <v>Home Owner</v>
      </c>
      <c r="M558">
        <v>0</v>
      </c>
      <c r="N558" t="s">
        <v>29</v>
      </c>
      <c r="O558" t="s">
        <v>35</v>
      </c>
      <c r="P558">
        <v>42</v>
      </c>
      <c r="Q558" t="str">
        <f t="shared" si="44"/>
        <v>35 to 44 yrs</v>
      </c>
      <c r="R558" t="s">
        <v>20</v>
      </c>
    </row>
    <row r="559" spans="1:18">
      <c r="A559">
        <v>24725</v>
      </c>
      <c r="B559" t="s">
        <v>13</v>
      </c>
      <c r="C559" t="str">
        <f t="shared" si="40"/>
        <v>Married</v>
      </c>
      <c r="D559" t="s">
        <v>14</v>
      </c>
      <c r="E559" t="str">
        <f t="shared" si="41"/>
        <v>Female</v>
      </c>
      <c r="F559" s="3">
        <v>40000</v>
      </c>
      <c r="G559" s="3" t="str">
        <f t="shared" si="42"/>
        <v>Lower Class</v>
      </c>
      <c r="H559">
        <v>3</v>
      </c>
      <c r="I559" t="s">
        <v>21</v>
      </c>
      <c r="J559" t="s">
        <v>22</v>
      </c>
      <c r="K559" t="s">
        <v>17</v>
      </c>
      <c r="L559" t="str">
        <f t="shared" si="43"/>
        <v>Home Owner</v>
      </c>
      <c r="M559">
        <v>0</v>
      </c>
      <c r="N559" t="s">
        <v>29</v>
      </c>
      <c r="O559" t="s">
        <v>35</v>
      </c>
      <c r="P559">
        <v>31</v>
      </c>
      <c r="Q559" t="str">
        <f t="shared" si="44"/>
        <v>25 to 34 yrs</v>
      </c>
      <c r="R559" t="s">
        <v>20</v>
      </c>
    </row>
    <row r="560" spans="1:18">
      <c r="A560">
        <v>23200</v>
      </c>
      <c r="B560" t="s">
        <v>13</v>
      </c>
      <c r="C560" t="str">
        <f t="shared" si="40"/>
        <v>Married</v>
      </c>
      <c r="D560" t="s">
        <v>14</v>
      </c>
      <c r="E560" t="str">
        <f t="shared" si="41"/>
        <v>Female</v>
      </c>
      <c r="F560" s="3">
        <v>50000</v>
      </c>
      <c r="G560" s="3" t="str">
        <f t="shared" si="42"/>
        <v>Lower Class</v>
      </c>
      <c r="H560">
        <v>3</v>
      </c>
      <c r="I560" t="s">
        <v>15</v>
      </c>
      <c r="J560" t="s">
        <v>16</v>
      </c>
      <c r="K560" t="s">
        <v>17</v>
      </c>
      <c r="L560" t="str">
        <f t="shared" si="43"/>
        <v>Home Owner</v>
      </c>
      <c r="M560">
        <v>2</v>
      </c>
      <c r="N560" t="s">
        <v>18</v>
      </c>
      <c r="O560" t="s">
        <v>35</v>
      </c>
      <c r="P560">
        <v>41</v>
      </c>
      <c r="Q560" t="str">
        <f t="shared" si="44"/>
        <v>35 to 44 yrs</v>
      </c>
      <c r="R560" t="s">
        <v>20</v>
      </c>
    </row>
    <row r="561" spans="1:18">
      <c r="A561">
        <v>15895</v>
      </c>
      <c r="B561" t="s">
        <v>25</v>
      </c>
      <c r="C561" t="str">
        <f t="shared" si="40"/>
        <v>Single</v>
      </c>
      <c r="D561" t="s">
        <v>14</v>
      </c>
      <c r="E561" t="str">
        <f t="shared" si="41"/>
        <v>Female</v>
      </c>
      <c r="F561" s="3">
        <v>60000</v>
      </c>
      <c r="G561" s="3" t="str">
        <f t="shared" si="42"/>
        <v>Middle Class</v>
      </c>
      <c r="H561">
        <v>2</v>
      </c>
      <c r="I561" t="s">
        <v>15</v>
      </c>
      <c r="J561" t="s">
        <v>31</v>
      </c>
      <c r="K561" t="s">
        <v>17</v>
      </c>
      <c r="L561" t="str">
        <f t="shared" si="43"/>
        <v>Home Owner</v>
      </c>
      <c r="M561">
        <v>0</v>
      </c>
      <c r="N561" t="s">
        <v>33</v>
      </c>
      <c r="O561" t="s">
        <v>35</v>
      </c>
      <c r="P561">
        <v>58</v>
      </c>
      <c r="Q561" t="str">
        <f t="shared" si="44"/>
        <v>55 to 64 yrs</v>
      </c>
      <c r="R561" t="s">
        <v>20</v>
      </c>
    </row>
    <row r="562" spans="1:18">
      <c r="A562">
        <v>18577</v>
      </c>
      <c r="B562" t="s">
        <v>13</v>
      </c>
      <c r="C562" t="str">
        <f t="shared" si="40"/>
        <v>Married</v>
      </c>
      <c r="D562" t="s">
        <v>14</v>
      </c>
      <c r="E562" t="str">
        <f t="shared" si="41"/>
        <v>Female</v>
      </c>
      <c r="F562" s="3">
        <v>60000</v>
      </c>
      <c r="G562" s="3" t="str">
        <f t="shared" si="42"/>
        <v>Middle Class</v>
      </c>
      <c r="H562">
        <v>0</v>
      </c>
      <c r="I562" t="s">
        <v>34</v>
      </c>
      <c r="J562" t="s">
        <v>23</v>
      </c>
      <c r="K562" t="s">
        <v>17</v>
      </c>
      <c r="L562" t="str">
        <f t="shared" si="43"/>
        <v>Home Owner</v>
      </c>
      <c r="M562">
        <v>0</v>
      </c>
      <c r="N562" t="s">
        <v>18</v>
      </c>
      <c r="O562" t="s">
        <v>35</v>
      </c>
      <c r="P562">
        <v>40</v>
      </c>
      <c r="Q562" t="str">
        <f t="shared" si="44"/>
        <v>35 to 44 yrs</v>
      </c>
      <c r="R562" t="s">
        <v>20</v>
      </c>
    </row>
    <row r="563" spans="1:18">
      <c r="A563">
        <v>27218</v>
      </c>
      <c r="B563" t="s">
        <v>13</v>
      </c>
      <c r="C563" t="str">
        <f t="shared" si="40"/>
        <v>Married</v>
      </c>
      <c r="D563" t="s">
        <v>14</v>
      </c>
      <c r="E563" t="str">
        <f t="shared" si="41"/>
        <v>Female</v>
      </c>
      <c r="F563" s="3">
        <v>20000</v>
      </c>
      <c r="G563" s="3" t="str">
        <f t="shared" si="42"/>
        <v>Lower Class</v>
      </c>
      <c r="H563">
        <v>2</v>
      </c>
      <c r="I563" t="s">
        <v>32</v>
      </c>
      <c r="J563" t="s">
        <v>22</v>
      </c>
      <c r="K563" t="s">
        <v>20</v>
      </c>
      <c r="L563" t="str">
        <f t="shared" si="43"/>
        <v>Tenant</v>
      </c>
      <c r="M563">
        <v>0</v>
      </c>
      <c r="N563" t="s">
        <v>18</v>
      </c>
      <c r="O563" t="s">
        <v>35</v>
      </c>
      <c r="P563">
        <v>48</v>
      </c>
      <c r="Q563" t="str">
        <f t="shared" si="44"/>
        <v>45 to 54 yrs</v>
      </c>
      <c r="R563" t="s">
        <v>20</v>
      </c>
    </row>
    <row r="564" spans="1:18">
      <c r="A564">
        <v>18560</v>
      </c>
      <c r="B564" t="s">
        <v>13</v>
      </c>
      <c r="C564" t="str">
        <f t="shared" si="40"/>
        <v>Married</v>
      </c>
      <c r="D564" t="s">
        <v>14</v>
      </c>
      <c r="E564" t="str">
        <f t="shared" si="41"/>
        <v>Female</v>
      </c>
      <c r="F564" s="3">
        <v>70000</v>
      </c>
      <c r="G564" s="3" t="str">
        <f t="shared" si="42"/>
        <v>Middle Class</v>
      </c>
      <c r="H564">
        <v>2</v>
      </c>
      <c r="I564" t="s">
        <v>34</v>
      </c>
      <c r="J564" t="s">
        <v>23</v>
      </c>
      <c r="K564" t="s">
        <v>17</v>
      </c>
      <c r="L564" t="str">
        <f t="shared" si="43"/>
        <v>Home Owner</v>
      </c>
      <c r="M564">
        <v>0</v>
      </c>
      <c r="N564" t="s">
        <v>24</v>
      </c>
      <c r="O564" t="s">
        <v>35</v>
      </c>
      <c r="P564">
        <v>34</v>
      </c>
      <c r="Q564" t="str">
        <f t="shared" si="44"/>
        <v>25 to 34 yrs</v>
      </c>
      <c r="R564" t="s">
        <v>17</v>
      </c>
    </row>
    <row r="565" spans="1:18">
      <c r="A565">
        <v>25006</v>
      </c>
      <c r="B565" t="s">
        <v>25</v>
      </c>
      <c r="C565" t="str">
        <f t="shared" si="40"/>
        <v>Single</v>
      </c>
      <c r="D565" t="s">
        <v>14</v>
      </c>
      <c r="E565" t="str">
        <f t="shared" si="41"/>
        <v>Female</v>
      </c>
      <c r="F565" s="3">
        <v>30000</v>
      </c>
      <c r="G565" s="3" t="str">
        <f t="shared" si="42"/>
        <v>Lower Class</v>
      </c>
      <c r="H565">
        <v>0</v>
      </c>
      <c r="I565" t="s">
        <v>21</v>
      </c>
      <c r="J565" t="s">
        <v>16</v>
      </c>
      <c r="K565" t="s">
        <v>17</v>
      </c>
      <c r="L565" t="str">
        <f t="shared" si="43"/>
        <v>Home Owner</v>
      </c>
      <c r="M565">
        <v>1</v>
      </c>
      <c r="N565" t="s">
        <v>26</v>
      </c>
      <c r="O565" t="s">
        <v>35</v>
      </c>
      <c r="P565">
        <v>28</v>
      </c>
      <c r="Q565" t="str">
        <f t="shared" si="44"/>
        <v>25 to 34 yrs</v>
      </c>
      <c r="R565" t="s">
        <v>20</v>
      </c>
    </row>
    <row r="566" spans="1:18">
      <c r="A566">
        <v>17369</v>
      </c>
      <c r="B566" t="s">
        <v>25</v>
      </c>
      <c r="C566" t="str">
        <f t="shared" si="40"/>
        <v>Single</v>
      </c>
      <c r="D566" t="s">
        <v>13</v>
      </c>
      <c r="E566" t="str">
        <f t="shared" si="41"/>
        <v>Male</v>
      </c>
      <c r="F566" s="3">
        <v>30000</v>
      </c>
      <c r="G566" s="3" t="str">
        <f t="shared" si="42"/>
        <v>Lower Class</v>
      </c>
      <c r="H566">
        <v>0</v>
      </c>
      <c r="I566" t="s">
        <v>21</v>
      </c>
      <c r="J566" t="s">
        <v>16</v>
      </c>
      <c r="K566" t="s">
        <v>17</v>
      </c>
      <c r="L566" t="str">
        <f t="shared" si="43"/>
        <v>Home Owner</v>
      </c>
      <c r="M566">
        <v>1</v>
      </c>
      <c r="N566" t="s">
        <v>26</v>
      </c>
      <c r="O566" t="s">
        <v>35</v>
      </c>
      <c r="P566">
        <v>27</v>
      </c>
      <c r="Q566" t="str">
        <f t="shared" si="44"/>
        <v>25 to 34 yrs</v>
      </c>
      <c r="R566" t="s">
        <v>20</v>
      </c>
    </row>
    <row r="567" spans="1:18">
      <c r="A567">
        <v>14495</v>
      </c>
      <c r="B567" t="s">
        <v>13</v>
      </c>
      <c r="C567" t="str">
        <f t="shared" si="40"/>
        <v>Married</v>
      </c>
      <c r="D567" t="s">
        <v>13</v>
      </c>
      <c r="E567" t="str">
        <f t="shared" si="41"/>
        <v>Male</v>
      </c>
      <c r="F567" s="3">
        <v>40000</v>
      </c>
      <c r="G567" s="3" t="str">
        <f t="shared" si="42"/>
        <v>Lower Class</v>
      </c>
      <c r="H567">
        <v>3</v>
      </c>
      <c r="I567" t="s">
        <v>21</v>
      </c>
      <c r="J567" t="s">
        <v>23</v>
      </c>
      <c r="K567" t="s">
        <v>20</v>
      </c>
      <c r="L567" t="str">
        <f t="shared" si="43"/>
        <v>Tenant</v>
      </c>
      <c r="M567">
        <v>2</v>
      </c>
      <c r="N567" t="s">
        <v>26</v>
      </c>
      <c r="O567" t="s">
        <v>35</v>
      </c>
      <c r="P567">
        <v>54</v>
      </c>
      <c r="Q567" t="str">
        <f t="shared" si="44"/>
        <v>45 to 54 yrs</v>
      </c>
      <c r="R567" t="s">
        <v>17</v>
      </c>
    </row>
    <row r="568" spans="1:18">
      <c r="A568">
        <v>18847</v>
      </c>
      <c r="B568" t="s">
        <v>13</v>
      </c>
      <c r="C568" t="str">
        <f t="shared" si="40"/>
        <v>Married</v>
      </c>
      <c r="D568" t="s">
        <v>14</v>
      </c>
      <c r="E568" t="str">
        <f t="shared" si="41"/>
        <v>Female</v>
      </c>
      <c r="F568" s="3">
        <v>60000</v>
      </c>
      <c r="G568" s="3" t="str">
        <f t="shared" si="42"/>
        <v>Middle Class</v>
      </c>
      <c r="H568">
        <v>2</v>
      </c>
      <c r="I568" t="s">
        <v>34</v>
      </c>
      <c r="J568" t="s">
        <v>31</v>
      </c>
      <c r="K568" t="s">
        <v>17</v>
      </c>
      <c r="L568" t="str">
        <f t="shared" si="43"/>
        <v>Home Owner</v>
      </c>
      <c r="M568">
        <v>2</v>
      </c>
      <c r="N568" t="s">
        <v>26</v>
      </c>
      <c r="O568" t="s">
        <v>35</v>
      </c>
      <c r="P568">
        <v>70</v>
      </c>
      <c r="Q568" t="str">
        <f t="shared" si="44"/>
        <v>65 yrs &amp; Above</v>
      </c>
      <c r="R568" t="s">
        <v>20</v>
      </c>
    </row>
    <row r="569" spans="1:18">
      <c r="A569">
        <v>14754</v>
      </c>
      <c r="B569" t="s">
        <v>13</v>
      </c>
      <c r="C569" t="str">
        <f t="shared" si="40"/>
        <v>Married</v>
      </c>
      <c r="D569" t="s">
        <v>13</v>
      </c>
      <c r="E569" t="str">
        <f t="shared" si="41"/>
        <v>Male</v>
      </c>
      <c r="F569" s="3">
        <v>40000</v>
      </c>
      <c r="G569" s="3" t="str">
        <f t="shared" si="42"/>
        <v>Lower Class</v>
      </c>
      <c r="H569">
        <v>1</v>
      </c>
      <c r="I569" t="s">
        <v>21</v>
      </c>
      <c r="J569" t="s">
        <v>22</v>
      </c>
      <c r="K569" t="s">
        <v>17</v>
      </c>
      <c r="L569" t="str">
        <f t="shared" si="43"/>
        <v>Home Owner</v>
      </c>
      <c r="M569">
        <v>1</v>
      </c>
      <c r="N569" t="s">
        <v>29</v>
      </c>
      <c r="O569" t="s">
        <v>35</v>
      </c>
      <c r="P569">
        <v>48</v>
      </c>
      <c r="Q569" t="str">
        <f t="shared" si="44"/>
        <v>45 to 54 yrs</v>
      </c>
      <c r="R569" t="s">
        <v>17</v>
      </c>
    </row>
    <row r="570" spans="1:18">
      <c r="A570">
        <v>23378</v>
      </c>
      <c r="B570" t="s">
        <v>13</v>
      </c>
      <c r="C570" t="str">
        <f t="shared" si="40"/>
        <v>Married</v>
      </c>
      <c r="D570" t="s">
        <v>13</v>
      </c>
      <c r="E570" t="str">
        <f t="shared" si="41"/>
        <v>Male</v>
      </c>
      <c r="F570" s="3">
        <v>70000</v>
      </c>
      <c r="G570" s="3" t="str">
        <f t="shared" si="42"/>
        <v>Middle Class</v>
      </c>
      <c r="H570">
        <v>1</v>
      </c>
      <c r="I570" t="s">
        <v>21</v>
      </c>
      <c r="J570" t="s">
        <v>16</v>
      </c>
      <c r="K570" t="s">
        <v>17</v>
      </c>
      <c r="L570" t="str">
        <f t="shared" si="43"/>
        <v>Home Owner</v>
      </c>
      <c r="M570">
        <v>1</v>
      </c>
      <c r="N570" t="s">
        <v>24</v>
      </c>
      <c r="O570" t="s">
        <v>35</v>
      </c>
      <c r="P570">
        <v>44</v>
      </c>
      <c r="Q570" t="str">
        <f t="shared" si="44"/>
        <v>35 to 44 yrs</v>
      </c>
      <c r="R570" t="s">
        <v>17</v>
      </c>
    </row>
    <row r="571" spans="1:18">
      <c r="A571">
        <v>26452</v>
      </c>
      <c r="B571" t="s">
        <v>25</v>
      </c>
      <c r="C571" t="str">
        <f t="shared" si="40"/>
        <v>Single</v>
      </c>
      <c r="D571" t="s">
        <v>13</v>
      </c>
      <c r="E571" t="str">
        <f t="shared" si="41"/>
        <v>Male</v>
      </c>
      <c r="F571" s="3">
        <v>50000</v>
      </c>
      <c r="G571" s="3" t="str">
        <f t="shared" si="42"/>
        <v>Lower Class</v>
      </c>
      <c r="H571">
        <v>3</v>
      </c>
      <c r="I571" t="s">
        <v>34</v>
      </c>
      <c r="J571" t="s">
        <v>31</v>
      </c>
      <c r="K571" t="s">
        <v>17</v>
      </c>
      <c r="L571" t="str">
        <f t="shared" si="43"/>
        <v>Home Owner</v>
      </c>
      <c r="M571">
        <v>2</v>
      </c>
      <c r="N571" t="s">
        <v>33</v>
      </c>
      <c r="O571" t="s">
        <v>35</v>
      </c>
      <c r="P571">
        <v>69</v>
      </c>
      <c r="Q571" t="str">
        <f t="shared" si="44"/>
        <v>65 yrs &amp; Above</v>
      </c>
      <c r="R571" t="s">
        <v>20</v>
      </c>
    </row>
    <row r="572" spans="1:18">
      <c r="A572">
        <v>20370</v>
      </c>
      <c r="B572" t="s">
        <v>13</v>
      </c>
      <c r="C572" t="str">
        <f t="shared" si="40"/>
        <v>Married</v>
      </c>
      <c r="D572" t="s">
        <v>13</v>
      </c>
      <c r="E572" t="str">
        <f t="shared" si="41"/>
        <v>Male</v>
      </c>
      <c r="F572" s="3">
        <v>70000</v>
      </c>
      <c r="G572" s="3" t="str">
        <f t="shared" si="42"/>
        <v>Middle Class</v>
      </c>
      <c r="H572">
        <v>3</v>
      </c>
      <c r="I572" t="s">
        <v>32</v>
      </c>
      <c r="J572" t="s">
        <v>16</v>
      </c>
      <c r="K572" t="s">
        <v>17</v>
      </c>
      <c r="L572" t="str">
        <f t="shared" si="43"/>
        <v>Home Owner</v>
      </c>
      <c r="M572">
        <v>2</v>
      </c>
      <c r="N572" t="s">
        <v>26</v>
      </c>
      <c r="O572" t="s">
        <v>35</v>
      </c>
      <c r="P572">
        <v>52</v>
      </c>
      <c r="Q572" t="str">
        <f t="shared" si="44"/>
        <v>45 to 54 yrs</v>
      </c>
      <c r="R572" t="s">
        <v>20</v>
      </c>
    </row>
    <row r="573" spans="1:18">
      <c r="A573">
        <v>20528</v>
      </c>
      <c r="B573" t="s">
        <v>13</v>
      </c>
      <c r="C573" t="str">
        <f t="shared" si="40"/>
        <v>Married</v>
      </c>
      <c r="D573" t="s">
        <v>13</v>
      </c>
      <c r="E573" t="str">
        <f t="shared" si="41"/>
        <v>Male</v>
      </c>
      <c r="F573" s="3">
        <v>40000</v>
      </c>
      <c r="G573" s="3" t="str">
        <f t="shared" si="42"/>
        <v>Lower Class</v>
      </c>
      <c r="H573">
        <v>2</v>
      </c>
      <c r="I573" t="s">
        <v>32</v>
      </c>
      <c r="J573" t="s">
        <v>16</v>
      </c>
      <c r="K573" t="s">
        <v>17</v>
      </c>
      <c r="L573" t="str">
        <f t="shared" si="43"/>
        <v>Home Owner</v>
      </c>
      <c r="M573">
        <v>2</v>
      </c>
      <c r="N573" t="s">
        <v>24</v>
      </c>
      <c r="O573" t="s">
        <v>35</v>
      </c>
      <c r="P573">
        <v>55</v>
      </c>
      <c r="Q573" t="str">
        <f t="shared" si="44"/>
        <v>55 to 64 yrs</v>
      </c>
      <c r="R573" t="s">
        <v>20</v>
      </c>
    </row>
    <row r="574" spans="1:18">
      <c r="A574">
        <v>23549</v>
      </c>
      <c r="B574" t="s">
        <v>25</v>
      </c>
      <c r="C574" t="str">
        <f t="shared" si="40"/>
        <v>Single</v>
      </c>
      <c r="D574" t="s">
        <v>13</v>
      </c>
      <c r="E574" t="str">
        <f t="shared" si="41"/>
        <v>Male</v>
      </c>
      <c r="F574" s="3">
        <v>30000</v>
      </c>
      <c r="G574" s="3" t="str">
        <f t="shared" si="42"/>
        <v>Lower Class</v>
      </c>
      <c r="H574">
        <v>0</v>
      </c>
      <c r="I574" t="s">
        <v>30</v>
      </c>
      <c r="J574" t="s">
        <v>16</v>
      </c>
      <c r="K574" t="s">
        <v>17</v>
      </c>
      <c r="L574" t="str">
        <f t="shared" si="43"/>
        <v>Home Owner</v>
      </c>
      <c r="M574">
        <v>2</v>
      </c>
      <c r="N574" t="s">
        <v>26</v>
      </c>
      <c r="O574" t="s">
        <v>35</v>
      </c>
      <c r="P574">
        <v>30</v>
      </c>
      <c r="Q574" t="str">
        <f t="shared" si="44"/>
        <v>25 to 34 yrs</v>
      </c>
      <c r="R574" t="s">
        <v>20</v>
      </c>
    </row>
    <row r="575" spans="1:18">
      <c r="A575">
        <v>21751</v>
      </c>
      <c r="B575" t="s">
        <v>13</v>
      </c>
      <c r="C575" t="str">
        <f t="shared" si="40"/>
        <v>Married</v>
      </c>
      <c r="D575" t="s">
        <v>13</v>
      </c>
      <c r="E575" t="str">
        <f t="shared" si="41"/>
        <v>Male</v>
      </c>
      <c r="F575" s="3">
        <v>60000</v>
      </c>
      <c r="G575" s="3" t="str">
        <f t="shared" si="42"/>
        <v>Middle Class</v>
      </c>
      <c r="H575">
        <v>3</v>
      </c>
      <c r="I575" t="s">
        <v>34</v>
      </c>
      <c r="J575" t="s">
        <v>31</v>
      </c>
      <c r="K575" t="s">
        <v>17</v>
      </c>
      <c r="L575" t="str">
        <f t="shared" si="43"/>
        <v>Home Owner</v>
      </c>
      <c r="M575">
        <v>2</v>
      </c>
      <c r="N575" t="s">
        <v>29</v>
      </c>
      <c r="O575" t="s">
        <v>35</v>
      </c>
      <c r="P575">
        <v>63</v>
      </c>
      <c r="Q575" t="str">
        <f t="shared" si="44"/>
        <v>55 to 64 yrs</v>
      </c>
      <c r="R575" t="s">
        <v>20</v>
      </c>
    </row>
    <row r="576" spans="1:18">
      <c r="A576">
        <v>21266</v>
      </c>
      <c r="B576" t="s">
        <v>25</v>
      </c>
      <c r="C576" t="str">
        <f t="shared" si="40"/>
        <v>Single</v>
      </c>
      <c r="D576" t="s">
        <v>14</v>
      </c>
      <c r="E576" t="str">
        <f t="shared" si="41"/>
        <v>Female</v>
      </c>
      <c r="F576" s="3">
        <v>80000</v>
      </c>
      <c r="G576" s="3" t="str">
        <f t="shared" si="42"/>
        <v>Middle Class</v>
      </c>
      <c r="H576">
        <v>0</v>
      </c>
      <c r="I576" t="s">
        <v>15</v>
      </c>
      <c r="J576" t="s">
        <v>31</v>
      </c>
      <c r="K576" t="s">
        <v>17</v>
      </c>
      <c r="L576" t="str">
        <f t="shared" si="43"/>
        <v>Home Owner</v>
      </c>
      <c r="M576">
        <v>1</v>
      </c>
      <c r="N576" t="s">
        <v>29</v>
      </c>
      <c r="O576" t="s">
        <v>35</v>
      </c>
      <c r="P576">
        <v>34</v>
      </c>
      <c r="Q576" t="str">
        <f t="shared" si="44"/>
        <v>25 to 34 yrs</v>
      </c>
      <c r="R576" t="s">
        <v>17</v>
      </c>
    </row>
    <row r="577" spans="1:18">
      <c r="A577">
        <v>13388</v>
      </c>
      <c r="B577" t="s">
        <v>25</v>
      </c>
      <c r="C577" t="str">
        <f t="shared" si="40"/>
        <v>Single</v>
      </c>
      <c r="D577" t="s">
        <v>13</v>
      </c>
      <c r="E577" t="str">
        <f t="shared" si="41"/>
        <v>Male</v>
      </c>
      <c r="F577" s="3">
        <v>60000</v>
      </c>
      <c r="G577" s="3" t="str">
        <f t="shared" si="42"/>
        <v>Middle Class</v>
      </c>
      <c r="H577">
        <v>2</v>
      </c>
      <c r="I577" t="s">
        <v>21</v>
      </c>
      <c r="J577" t="s">
        <v>23</v>
      </c>
      <c r="K577" t="s">
        <v>17</v>
      </c>
      <c r="L577" t="str">
        <f t="shared" si="43"/>
        <v>Home Owner</v>
      </c>
      <c r="M577">
        <v>1</v>
      </c>
      <c r="N577" t="s">
        <v>33</v>
      </c>
      <c r="O577" t="s">
        <v>35</v>
      </c>
      <c r="P577">
        <v>56</v>
      </c>
      <c r="Q577" t="str">
        <f t="shared" si="44"/>
        <v>55 to 64 yrs</v>
      </c>
      <c r="R577" t="s">
        <v>20</v>
      </c>
    </row>
    <row r="578" spans="1:18">
      <c r="A578">
        <v>18752</v>
      </c>
      <c r="B578" t="s">
        <v>25</v>
      </c>
      <c r="C578" t="str">
        <f t="shared" si="40"/>
        <v>Single</v>
      </c>
      <c r="D578" t="s">
        <v>14</v>
      </c>
      <c r="E578" t="str">
        <f t="shared" si="41"/>
        <v>Female</v>
      </c>
      <c r="F578" s="3">
        <v>40000</v>
      </c>
      <c r="G578" s="3" t="str">
        <f t="shared" si="42"/>
        <v>Lower Class</v>
      </c>
      <c r="H578">
        <v>0</v>
      </c>
      <c r="I578" t="s">
        <v>30</v>
      </c>
      <c r="J578" t="s">
        <v>16</v>
      </c>
      <c r="K578" t="s">
        <v>17</v>
      </c>
      <c r="L578" t="str">
        <f t="shared" si="43"/>
        <v>Home Owner</v>
      </c>
      <c r="M578">
        <v>1</v>
      </c>
      <c r="N578" t="s">
        <v>26</v>
      </c>
      <c r="O578" t="s">
        <v>35</v>
      </c>
      <c r="P578">
        <v>31</v>
      </c>
      <c r="Q578" t="str">
        <f t="shared" si="44"/>
        <v>25 to 34 yrs</v>
      </c>
      <c r="R578" t="s">
        <v>20</v>
      </c>
    </row>
    <row r="579" spans="1:18">
      <c r="A579">
        <v>16917</v>
      </c>
      <c r="B579" t="s">
        <v>13</v>
      </c>
      <c r="C579" t="str">
        <f t="shared" ref="C579:C642" si="45">IF($B$2:$B$1001="M", "Married","Single")</f>
        <v>Married</v>
      </c>
      <c r="D579" t="s">
        <v>13</v>
      </c>
      <c r="E579" t="str">
        <f t="shared" ref="E579:E642" si="46">IF($D$2:$D$1001="F", "Female", "Male")</f>
        <v>Male</v>
      </c>
      <c r="F579" s="3">
        <v>120000</v>
      </c>
      <c r="G579" s="3" t="str">
        <f t="shared" ref="G579:G642" si="47">_xlfn.IFS(F579&lt;=57375,"Lower Class",F579&lt;=114750,"Middle Class",F579&lt;=253414,"Upper Middle Class",TRUE,"Upper Class")</f>
        <v>Upper Middle Class</v>
      </c>
      <c r="H579">
        <v>1</v>
      </c>
      <c r="I579" t="s">
        <v>15</v>
      </c>
      <c r="J579" t="s">
        <v>31</v>
      </c>
      <c r="K579" t="s">
        <v>17</v>
      </c>
      <c r="L579" t="str">
        <f t="shared" ref="L579:L642" si="48">IF($K$2:$K$1001="Yes", "Home Owner","Tenant")</f>
        <v>Home Owner</v>
      </c>
      <c r="M579">
        <v>4</v>
      </c>
      <c r="N579" t="s">
        <v>18</v>
      </c>
      <c r="O579" t="s">
        <v>35</v>
      </c>
      <c r="P579">
        <v>38</v>
      </c>
      <c r="Q579" t="str">
        <f t="shared" ref="Q579:Q642" si="49">_xlfn.IFS(P579&lt;25,"Less than 25 yrs",P579&lt;35,"25 to 34 yrs",P579&lt;45,"35 to 44 yrs",P579&lt;55,"45 to 54 yrs",P579&lt;65,"55 to 64 yrs", TRUE, "65 yrs &amp; Above")</f>
        <v>35 to 44 yrs</v>
      </c>
      <c r="R579" t="s">
        <v>20</v>
      </c>
    </row>
    <row r="580" spans="1:18">
      <c r="A580">
        <v>15313</v>
      </c>
      <c r="B580" t="s">
        <v>13</v>
      </c>
      <c r="C580" t="str">
        <f t="shared" si="45"/>
        <v>Married</v>
      </c>
      <c r="D580" t="s">
        <v>13</v>
      </c>
      <c r="E580" t="str">
        <f t="shared" si="46"/>
        <v>Male</v>
      </c>
      <c r="F580" s="3">
        <v>60000</v>
      </c>
      <c r="G580" s="3" t="str">
        <f t="shared" si="47"/>
        <v>Middle Class</v>
      </c>
      <c r="H580">
        <v>4</v>
      </c>
      <c r="I580" t="s">
        <v>15</v>
      </c>
      <c r="J580" t="s">
        <v>31</v>
      </c>
      <c r="K580" t="s">
        <v>17</v>
      </c>
      <c r="L580" t="str">
        <f t="shared" si="48"/>
        <v>Home Owner</v>
      </c>
      <c r="M580">
        <v>2</v>
      </c>
      <c r="N580" t="s">
        <v>24</v>
      </c>
      <c r="O580" t="s">
        <v>35</v>
      </c>
      <c r="P580">
        <v>59</v>
      </c>
      <c r="Q580" t="str">
        <f t="shared" si="49"/>
        <v>55 to 64 yrs</v>
      </c>
      <c r="R580" t="s">
        <v>20</v>
      </c>
    </row>
    <row r="581" spans="1:18">
      <c r="A581">
        <v>25329</v>
      </c>
      <c r="B581" t="s">
        <v>25</v>
      </c>
      <c r="C581" t="str">
        <f t="shared" si="45"/>
        <v>Single</v>
      </c>
      <c r="D581" t="s">
        <v>14</v>
      </c>
      <c r="E581" t="str">
        <f t="shared" si="46"/>
        <v>Female</v>
      </c>
      <c r="F581" s="3">
        <v>40000</v>
      </c>
      <c r="G581" s="3" t="str">
        <f t="shared" si="47"/>
        <v>Lower Class</v>
      </c>
      <c r="H581">
        <v>3</v>
      </c>
      <c r="I581" t="s">
        <v>21</v>
      </c>
      <c r="J581" t="s">
        <v>22</v>
      </c>
      <c r="K581" t="s">
        <v>20</v>
      </c>
      <c r="L581" t="str">
        <f t="shared" si="48"/>
        <v>Tenant</v>
      </c>
      <c r="M581">
        <v>2</v>
      </c>
      <c r="N581" t="s">
        <v>18</v>
      </c>
      <c r="O581" t="s">
        <v>35</v>
      </c>
      <c r="P581">
        <v>32</v>
      </c>
      <c r="Q581" t="str">
        <f t="shared" si="49"/>
        <v>25 to 34 yrs</v>
      </c>
      <c r="R581" t="s">
        <v>20</v>
      </c>
    </row>
    <row r="582" spans="1:18">
      <c r="A582">
        <v>20380</v>
      </c>
      <c r="B582" t="s">
        <v>13</v>
      </c>
      <c r="C582" t="str">
        <f t="shared" si="45"/>
        <v>Married</v>
      </c>
      <c r="D582" t="s">
        <v>14</v>
      </c>
      <c r="E582" t="str">
        <f t="shared" si="46"/>
        <v>Female</v>
      </c>
      <c r="F582" s="3">
        <v>60000</v>
      </c>
      <c r="G582" s="3" t="str">
        <f t="shared" si="47"/>
        <v>Middle Class</v>
      </c>
      <c r="H582">
        <v>3</v>
      </c>
      <c r="I582" t="s">
        <v>34</v>
      </c>
      <c r="J582" t="s">
        <v>31</v>
      </c>
      <c r="K582" t="s">
        <v>17</v>
      </c>
      <c r="L582" t="str">
        <f t="shared" si="48"/>
        <v>Home Owner</v>
      </c>
      <c r="M582">
        <v>2</v>
      </c>
      <c r="N582" t="s">
        <v>33</v>
      </c>
      <c r="O582" t="s">
        <v>35</v>
      </c>
      <c r="P582">
        <v>69</v>
      </c>
      <c r="Q582" t="str">
        <f t="shared" si="49"/>
        <v>65 yrs &amp; Above</v>
      </c>
      <c r="R582" t="s">
        <v>20</v>
      </c>
    </row>
    <row r="583" spans="1:18">
      <c r="A583">
        <v>23089</v>
      </c>
      <c r="B583" t="s">
        <v>13</v>
      </c>
      <c r="C583" t="str">
        <f t="shared" si="45"/>
        <v>Married</v>
      </c>
      <c r="D583" t="s">
        <v>13</v>
      </c>
      <c r="E583" t="str">
        <f t="shared" si="46"/>
        <v>Male</v>
      </c>
      <c r="F583" s="3">
        <v>40000</v>
      </c>
      <c r="G583" s="3" t="str">
        <f t="shared" si="47"/>
        <v>Lower Class</v>
      </c>
      <c r="H583">
        <v>0</v>
      </c>
      <c r="I583" t="s">
        <v>21</v>
      </c>
      <c r="J583" t="s">
        <v>16</v>
      </c>
      <c r="K583" t="s">
        <v>17</v>
      </c>
      <c r="L583" t="str">
        <f t="shared" si="48"/>
        <v>Home Owner</v>
      </c>
      <c r="M583">
        <v>1</v>
      </c>
      <c r="N583" t="s">
        <v>26</v>
      </c>
      <c r="O583" t="s">
        <v>35</v>
      </c>
      <c r="P583">
        <v>28</v>
      </c>
      <c r="Q583" t="str">
        <f t="shared" si="49"/>
        <v>25 to 34 yrs</v>
      </c>
      <c r="R583" t="s">
        <v>20</v>
      </c>
    </row>
    <row r="584" spans="1:18">
      <c r="A584">
        <v>13749</v>
      </c>
      <c r="B584" t="s">
        <v>13</v>
      </c>
      <c r="C584" t="str">
        <f t="shared" si="45"/>
        <v>Married</v>
      </c>
      <c r="D584" t="s">
        <v>13</v>
      </c>
      <c r="E584" t="str">
        <f t="shared" si="46"/>
        <v>Male</v>
      </c>
      <c r="F584" s="3">
        <v>80000</v>
      </c>
      <c r="G584" s="3" t="str">
        <f t="shared" si="47"/>
        <v>Middle Class</v>
      </c>
      <c r="H584">
        <v>4</v>
      </c>
      <c r="I584" t="s">
        <v>34</v>
      </c>
      <c r="J584" t="s">
        <v>16</v>
      </c>
      <c r="K584" t="s">
        <v>17</v>
      </c>
      <c r="L584" t="str">
        <f t="shared" si="48"/>
        <v>Home Owner</v>
      </c>
      <c r="M584">
        <v>0</v>
      </c>
      <c r="N584" t="s">
        <v>29</v>
      </c>
      <c r="O584" t="s">
        <v>35</v>
      </c>
      <c r="P584">
        <v>47</v>
      </c>
      <c r="Q584" t="str">
        <f t="shared" si="49"/>
        <v>45 to 54 yrs</v>
      </c>
      <c r="R584" t="s">
        <v>20</v>
      </c>
    </row>
    <row r="585" spans="1:18">
      <c r="A585">
        <v>24943</v>
      </c>
      <c r="B585" t="s">
        <v>13</v>
      </c>
      <c r="C585" t="str">
        <f t="shared" si="45"/>
        <v>Married</v>
      </c>
      <c r="D585" t="s">
        <v>13</v>
      </c>
      <c r="E585" t="str">
        <f t="shared" si="46"/>
        <v>Male</v>
      </c>
      <c r="F585" s="3">
        <v>60000</v>
      </c>
      <c r="G585" s="3" t="str">
        <f t="shared" si="47"/>
        <v>Middle Class</v>
      </c>
      <c r="H585">
        <v>3</v>
      </c>
      <c r="I585" t="s">
        <v>15</v>
      </c>
      <c r="J585" t="s">
        <v>31</v>
      </c>
      <c r="K585" t="s">
        <v>17</v>
      </c>
      <c r="L585" t="str">
        <f t="shared" si="48"/>
        <v>Home Owner</v>
      </c>
      <c r="M585">
        <v>2</v>
      </c>
      <c r="N585" t="s">
        <v>33</v>
      </c>
      <c r="O585" t="s">
        <v>35</v>
      </c>
      <c r="P585">
        <v>66</v>
      </c>
      <c r="Q585" t="str">
        <f t="shared" si="49"/>
        <v>65 yrs &amp; Above</v>
      </c>
      <c r="R585" t="s">
        <v>20</v>
      </c>
    </row>
    <row r="586" spans="1:18">
      <c r="A586">
        <v>28667</v>
      </c>
      <c r="B586" t="s">
        <v>25</v>
      </c>
      <c r="C586" t="str">
        <f t="shared" si="45"/>
        <v>Single</v>
      </c>
      <c r="D586" t="s">
        <v>13</v>
      </c>
      <c r="E586" t="str">
        <f t="shared" si="46"/>
        <v>Male</v>
      </c>
      <c r="F586" s="3">
        <v>70000</v>
      </c>
      <c r="G586" s="3" t="str">
        <f t="shared" si="47"/>
        <v>Middle Class</v>
      </c>
      <c r="H586">
        <v>2</v>
      </c>
      <c r="I586" t="s">
        <v>15</v>
      </c>
      <c r="J586" t="s">
        <v>16</v>
      </c>
      <c r="K586" t="s">
        <v>20</v>
      </c>
      <c r="L586" t="str">
        <f t="shared" si="48"/>
        <v>Tenant</v>
      </c>
      <c r="M586">
        <v>1</v>
      </c>
      <c r="N586" t="s">
        <v>18</v>
      </c>
      <c r="O586" t="s">
        <v>35</v>
      </c>
      <c r="P586">
        <v>37</v>
      </c>
      <c r="Q586" t="str">
        <f t="shared" si="49"/>
        <v>35 to 44 yrs</v>
      </c>
      <c r="R586" t="s">
        <v>17</v>
      </c>
    </row>
    <row r="587" spans="1:18">
      <c r="A587">
        <v>15194</v>
      </c>
      <c r="B587" t="s">
        <v>25</v>
      </c>
      <c r="C587" t="str">
        <f t="shared" si="45"/>
        <v>Single</v>
      </c>
      <c r="D587" t="s">
        <v>13</v>
      </c>
      <c r="E587" t="str">
        <f t="shared" si="46"/>
        <v>Male</v>
      </c>
      <c r="F587" s="3">
        <v>120000</v>
      </c>
      <c r="G587" s="3" t="str">
        <f t="shared" si="47"/>
        <v>Upper Middle Class</v>
      </c>
      <c r="H587">
        <v>2</v>
      </c>
      <c r="I587" t="s">
        <v>15</v>
      </c>
      <c r="J587" t="s">
        <v>31</v>
      </c>
      <c r="K587" t="s">
        <v>20</v>
      </c>
      <c r="L587" t="str">
        <f t="shared" si="48"/>
        <v>Tenant</v>
      </c>
      <c r="M587">
        <v>3</v>
      </c>
      <c r="N587" t="s">
        <v>18</v>
      </c>
      <c r="O587" t="s">
        <v>35</v>
      </c>
      <c r="P587">
        <v>39</v>
      </c>
      <c r="Q587" t="str">
        <f t="shared" si="49"/>
        <v>35 to 44 yrs</v>
      </c>
      <c r="R587" t="s">
        <v>17</v>
      </c>
    </row>
    <row r="588" spans="1:18">
      <c r="A588">
        <v>17436</v>
      </c>
      <c r="B588" t="s">
        <v>13</v>
      </c>
      <c r="C588" t="str">
        <f t="shared" si="45"/>
        <v>Married</v>
      </c>
      <c r="D588" t="s">
        <v>13</v>
      </c>
      <c r="E588" t="str">
        <f t="shared" si="46"/>
        <v>Male</v>
      </c>
      <c r="F588" s="3">
        <v>60000</v>
      </c>
      <c r="G588" s="3" t="str">
        <f t="shared" si="47"/>
        <v>Middle Class</v>
      </c>
      <c r="H588">
        <v>2</v>
      </c>
      <c r="I588" t="s">
        <v>30</v>
      </c>
      <c r="J588" t="s">
        <v>23</v>
      </c>
      <c r="K588" t="s">
        <v>20</v>
      </c>
      <c r="L588" t="str">
        <f t="shared" si="48"/>
        <v>Tenant</v>
      </c>
      <c r="M588">
        <v>2</v>
      </c>
      <c r="N588" t="s">
        <v>29</v>
      </c>
      <c r="O588" t="s">
        <v>35</v>
      </c>
      <c r="P588">
        <v>51</v>
      </c>
      <c r="Q588" t="str">
        <f t="shared" si="49"/>
        <v>45 to 54 yrs</v>
      </c>
      <c r="R588" t="s">
        <v>20</v>
      </c>
    </row>
    <row r="589" spans="1:18">
      <c r="A589">
        <v>18935</v>
      </c>
      <c r="B589" t="s">
        <v>13</v>
      </c>
      <c r="C589" t="str">
        <f t="shared" si="45"/>
        <v>Married</v>
      </c>
      <c r="D589" t="s">
        <v>14</v>
      </c>
      <c r="E589" t="str">
        <f t="shared" si="46"/>
        <v>Female</v>
      </c>
      <c r="F589" s="3">
        <v>130000</v>
      </c>
      <c r="G589" s="3" t="str">
        <f t="shared" si="47"/>
        <v>Upper Middle Class</v>
      </c>
      <c r="H589">
        <v>0</v>
      </c>
      <c r="I589" t="s">
        <v>34</v>
      </c>
      <c r="J589" t="s">
        <v>31</v>
      </c>
      <c r="K589" t="s">
        <v>17</v>
      </c>
      <c r="L589" t="str">
        <f t="shared" si="48"/>
        <v>Home Owner</v>
      </c>
      <c r="M589">
        <v>3</v>
      </c>
      <c r="N589" t="s">
        <v>29</v>
      </c>
      <c r="O589" t="s">
        <v>35</v>
      </c>
      <c r="P589">
        <v>40</v>
      </c>
      <c r="Q589" t="str">
        <f t="shared" si="49"/>
        <v>35 to 44 yrs</v>
      </c>
      <c r="R589" t="s">
        <v>20</v>
      </c>
    </row>
    <row r="590" spans="1:18">
      <c r="A590">
        <v>16871</v>
      </c>
      <c r="B590" t="s">
        <v>13</v>
      </c>
      <c r="C590" t="str">
        <f t="shared" si="45"/>
        <v>Married</v>
      </c>
      <c r="D590" t="s">
        <v>14</v>
      </c>
      <c r="E590" t="str">
        <f t="shared" si="46"/>
        <v>Female</v>
      </c>
      <c r="F590" s="3">
        <v>90000</v>
      </c>
      <c r="G590" s="3" t="str">
        <f t="shared" si="47"/>
        <v>Middle Class</v>
      </c>
      <c r="H590">
        <v>2</v>
      </c>
      <c r="I590" t="s">
        <v>30</v>
      </c>
      <c r="J590" t="s">
        <v>23</v>
      </c>
      <c r="K590" t="s">
        <v>17</v>
      </c>
      <c r="L590" t="str">
        <f t="shared" si="48"/>
        <v>Home Owner</v>
      </c>
      <c r="M590">
        <v>1</v>
      </c>
      <c r="N590" t="s">
        <v>33</v>
      </c>
      <c r="O590" t="s">
        <v>35</v>
      </c>
      <c r="P590">
        <v>51</v>
      </c>
      <c r="Q590" t="str">
        <f t="shared" si="49"/>
        <v>45 to 54 yrs</v>
      </c>
      <c r="R590" t="s">
        <v>17</v>
      </c>
    </row>
    <row r="591" spans="1:18">
      <c r="A591">
        <v>12100</v>
      </c>
      <c r="B591" t="s">
        <v>25</v>
      </c>
      <c r="C591" t="str">
        <f t="shared" si="45"/>
        <v>Single</v>
      </c>
      <c r="D591" t="s">
        <v>13</v>
      </c>
      <c r="E591" t="str">
        <f t="shared" si="46"/>
        <v>Male</v>
      </c>
      <c r="F591" s="3">
        <v>60000</v>
      </c>
      <c r="G591" s="3" t="str">
        <f t="shared" si="47"/>
        <v>Middle Class</v>
      </c>
      <c r="H591">
        <v>2</v>
      </c>
      <c r="I591" t="s">
        <v>15</v>
      </c>
      <c r="J591" t="s">
        <v>31</v>
      </c>
      <c r="K591" t="s">
        <v>17</v>
      </c>
      <c r="L591" t="str">
        <f t="shared" si="48"/>
        <v>Home Owner</v>
      </c>
      <c r="M591">
        <v>0</v>
      </c>
      <c r="N591" t="s">
        <v>33</v>
      </c>
      <c r="O591" t="s">
        <v>35</v>
      </c>
      <c r="P591">
        <v>57</v>
      </c>
      <c r="Q591" t="str">
        <f t="shared" si="49"/>
        <v>55 to 64 yrs</v>
      </c>
      <c r="R591" t="s">
        <v>20</v>
      </c>
    </row>
    <row r="592" spans="1:18">
      <c r="A592">
        <v>23158</v>
      </c>
      <c r="B592" t="s">
        <v>13</v>
      </c>
      <c r="C592" t="str">
        <f t="shared" si="45"/>
        <v>Married</v>
      </c>
      <c r="D592" t="s">
        <v>14</v>
      </c>
      <c r="E592" t="str">
        <f t="shared" si="46"/>
        <v>Female</v>
      </c>
      <c r="F592" s="3">
        <v>60000</v>
      </c>
      <c r="G592" s="3" t="str">
        <f t="shared" si="47"/>
        <v>Middle Class</v>
      </c>
      <c r="H592">
        <v>1</v>
      </c>
      <c r="I592" t="s">
        <v>34</v>
      </c>
      <c r="J592" t="s">
        <v>23</v>
      </c>
      <c r="K592" t="s">
        <v>20</v>
      </c>
      <c r="L592" t="str">
        <f t="shared" si="48"/>
        <v>Tenant</v>
      </c>
      <c r="M592">
        <v>0</v>
      </c>
      <c r="N592" t="s">
        <v>18</v>
      </c>
      <c r="O592" t="s">
        <v>35</v>
      </c>
      <c r="P592">
        <v>35</v>
      </c>
      <c r="Q592" t="str">
        <f t="shared" si="49"/>
        <v>35 to 44 yrs</v>
      </c>
      <c r="R592" t="s">
        <v>17</v>
      </c>
    </row>
    <row r="593" spans="1:18">
      <c r="A593">
        <v>18545</v>
      </c>
      <c r="B593" t="s">
        <v>13</v>
      </c>
      <c r="C593" t="str">
        <f t="shared" si="45"/>
        <v>Married</v>
      </c>
      <c r="D593" t="s">
        <v>13</v>
      </c>
      <c r="E593" t="str">
        <f t="shared" si="46"/>
        <v>Male</v>
      </c>
      <c r="F593" s="3">
        <v>40000</v>
      </c>
      <c r="G593" s="3" t="str">
        <f t="shared" si="47"/>
        <v>Lower Class</v>
      </c>
      <c r="H593">
        <v>4</v>
      </c>
      <c r="I593" t="s">
        <v>30</v>
      </c>
      <c r="J593" t="s">
        <v>23</v>
      </c>
      <c r="K593" t="s">
        <v>20</v>
      </c>
      <c r="L593" t="str">
        <f t="shared" si="48"/>
        <v>Tenant</v>
      </c>
      <c r="M593">
        <v>2</v>
      </c>
      <c r="N593" t="s">
        <v>33</v>
      </c>
      <c r="O593" t="s">
        <v>35</v>
      </c>
      <c r="P593">
        <v>61</v>
      </c>
      <c r="Q593" t="str">
        <f t="shared" si="49"/>
        <v>55 to 64 yrs</v>
      </c>
      <c r="R593" t="s">
        <v>17</v>
      </c>
    </row>
    <row r="594" spans="1:18">
      <c r="A594">
        <v>18391</v>
      </c>
      <c r="B594" t="s">
        <v>25</v>
      </c>
      <c r="C594" t="str">
        <f t="shared" si="45"/>
        <v>Single</v>
      </c>
      <c r="D594" t="s">
        <v>14</v>
      </c>
      <c r="E594" t="str">
        <f t="shared" si="46"/>
        <v>Female</v>
      </c>
      <c r="F594" s="3">
        <v>80000</v>
      </c>
      <c r="G594" s="3" t="str">
        <f t="shared" si="47"/>
        <v>Middle Class</v>
      </c>
      <c r="H594">
        <v>5</v>
      </c>
      <c r="I594" t="s">
        <v>21</v>
      </c>
      <c r="J594" t="s">
        <v>23</v>
      </c>
      <c r="K594" t="s">
        <v>17</v>
      </c>
      <c r="L594" t="str">
        <f t="shared" si="48"/>
        <v>Home Owner</v>
      </c>
      <c r="M594">
        <v>2</v>
      </c>
      <c r="N594" t="s">
        <v>26</v>
      </c>
      <c r="O594" t="s">
        <v>35</v>
      </c>
      <c r="P594">
        <v>44</v>
      </c>
      <c r="Q594" t="str">
        <f t="shared" si="49"/>
        <v>35 to 44 yrs</v>
      </c>
      <c r="R594" t="s">
        <v>20</v>
      </c>
    </row>
    <row r="595" spans="1:18">
      <c r="A595">
        <v>19812</v>
      </c>
      <c r="B595" t="s">
        <v>25</v>
      </c>
      <c r="C595" t="str">
        <f t="shared" si="45"/>
        <v>Single</v>
      </c>
      <c r="D595" t="s">
        <v>14</v>
      </c>
      <c r="E595" t="str">
        <f t="shared" si="46"/>
        <v>Female</v>
      </c>
      <c r="F595" s="3">
        <v>70000</v>
      </c>
      <c r="G595" s="3" t="str">
        <f t="shared" si="47"/>
        <v>Middle Class</v>
      </c>
      <c r="H595">
        <v>2</v>
      </c>
      <c r="I595" t="s">
        <v>21</v>
      </c>
      <c r="J595" t="s">
        <v>23</v>
      </c>
      <c r="K595" t="s">
        <v>17</v>
      </c>
      <c r="L595" t="str">
        <f t="shared" si="48"/>
        <v>Home Owner</v>
      </c>
      <c r="M595">
        <v>0</v>
      </c>
      <c r="N595" t="s">
        <v>26</v>
      </c>
      <c r="O595" t="s">
        <v>35</v>
      </c>
      <c r="P595">
        <v>49</v>
      </c>
      <c r="Q595" t="str">
        <f t="shared" si="49"/>
        <v>45 to 54 yrs</v>
      </c>
      <c r="R595" t="s">
        <v>17</v>
      </c>
    </row>
    <row r="596" spans="1:18">
      <c r="A596">
        <v>27660</v>
      </c>
      <c r="B596" t="s">
        <v>13</v>
      </c>
      <c r="C596" t="str">
        <f t="shared" si="45"/>
        <v>Married</v>
      </c>
      <c r="D596" t="s">
        <v>13</v>
      </c>
      <c r="E596" t="str">
        <f t="shared" si="46"/>
        <v>Male</v>
      </c>
      <c r="F596" s="3">
        <v>80000</v>
      </c>
      <c r="G596" s="3" t="str">
        <f t="shared" si="47"/>
        <v>Middle Class</v>
      </c>
      <c r="H596">
        <v>4</v>
      </c>
      <c r="I596" t="s">
        <v>34</v>
      </c>
      <c r="J596" t="s">
        <v>31</v>
      </c>
      <c r="K596" t="s">
        <v>17</v>
      </c>
      <c r="L596" t="str">
        <f t="shared" si="48"/>
        <v>Home Owner</v>
      </c>
      <c r="M596">
        <v>2</v>
      </c>
      <c r="N596" t="s">
        <v>26</v>
      </c>
      <c r="O596" t="s">
        <v>35</v>
      </c>
      <c r="P596">
        <v>70</v>
      </c>
      <c r="Q596" t="str">
        <f t="shared" si="49"/>
        <v>65 yrs &amp; Above</v>
      </c>
      <c r="R596" t="s">
        <v>20</v>
      </c>
    </row>
    <row r="597" spans="1:18">
      <c r="A597">
        <v>18058</v>
      </c>
      <c r="B597" t="s">
        <v>25</v>
      </c>
      <c r="C597" t="str">
        <f t="shared" si="45"/>
        <v>Single</v>
      </c>
      <c r="D597" t="s">
        <v>14</v>
      </c>
      <c r="E597" t="str">
        <f t="shared" si="46"/>
        <v>Female</v>
      </c>
      <c r="F597" s="3">
        <v>20000</v>
      </c>
      <c r="G597" s="3" t="str">
        <f t="shared" si="47"/>
        <v>Lower Class</v>
      </c>
      <c r="H597">
        <v>3</v>
      </c>
      <c r="I597" t="s">
        <v>30</v>
      </c>
      <c r="J597" t="s">
        <v>16</v>
      </c>
      <c r="K597" t="s">
        <v>17</v>
      </c>
      <c r="L597" t="str">
        <f t="shared" si="48"/>
        <v>Home Owner</v>
      </c>
      <c r="M597">
        <v>2</v>
      </c>
      <c r="N597" t="s">
        <v>24</v>
      </c>
      <c r="O597" t="s">
        <v>35</v>
      </c>
      <c r="P597">
        <v>78</v>
      </c>
      <c r="Q597" t="str">
        <f t="shared" si="49"/>
        <v>65 yrs &amp; Above</v>
      </c>
      <c r="R597" t="s">
        <v>20</v>
      </c>
    </row>
    <row r="598" spans="1:18">
      <c r="A598">
        <v>20343</v>
      </c>
      <c r="B598" t="s">
        <v>13</v>
      </c>
      <c r="C598" t="str">
        <f t="shared" si="45"/>
        <v>Married</v>
      </c>
      <c r="D598" t="s">
        <v>14</v>
      </c>
      <c r="E598" t="str">
        <f t="shared" si="46"/>
        <v>Female</v>
      </c>
      <c r="F598" s="3">
        <v>90000</v>
      </c>
      <c r="G598" s="3" t="str">
        <f t="shared" si="47"/>
        <v>Middle Class</v>
      </c>
      <c r="H598">
        <v>4</v>
      </c>
      <c r="I598" t="s">
        <v>21</v>
      </c>
      <c r="J598" t="s">
        <v>23</v>
      </c>
      <c r="K598" t="s">
        <v>17</v>
      </c>
      <c r="L598" t="str">
        <f t="shared" si="48"/>
        <v>Home Owner</v>
      </c>
      <c r="M598">
        <v>1</v>
      </c>
      <c r="N598" t="s">
        <v>29</v>
      </c>
      <c r="O598" t="s">
        <v>35</v>
      </c>
      <c r="P598">
        <v>45</v>
      </c>
      <c r="Q598" t="str">
        <f t="shared" si="49"/>
        <v>45 to 54 yrs</v>
      </c>
      <c r="R598" t="s">
        <v>20</v>
      </c>
    </row>
    <row r="599" spans="1:18">
      <c r="A599">
        <v>28997</v>
      </c>
      <c r="B599" t="s">
        <v>25</v>
      </c>
      <c r="C599" t="str">
        <f t="shared" si="45"/>
        <v>Single</v>
      </c>
      <c r="D599" t="s">
        <v>13</v>
      </c>
      <c r="E599" t="str">
        <f t="shared" si="46"/>
        <v>Male</v>
      </c>
      <c r="F599" s="3">
        <v>40000</v>
      </c>
      <c r="G599" s="3" t="str">
        <f t="shared" si="47"/>
        <v>Lower Class</v>
      </c>
      <c r="H599">
        <v>2</v>
      </c>
      <c r="I599" t="s">
        <v>30</v>
      </c>
      <c r="J599" t="s">
        <v>23</v>
      </c>
      <c r="K599" t="s">
        <v>20</v>
      </c>
      <c r="L599" t="str">
        <f t="shared" si="48"/>
        <v>Tenant</v>
      </c>
      <c r="M599">
        <v>1</v>
      </c>
      <c r="N599" t="s">
        <v>24</v>
      </c>
      <c r="O599" t="s">
        <v>35</v>
      </c>
      <c r="P599">
        <v>58</v>
      </c>
      <c r="Q599" t="str">
        <f t="shared" si="49"/>
        <v>55 to 64 yrs</v>
      </c>
      <c r="R599" t="s">
        <v>17</v>
      </c>
    </row>
    <row r="600" spans="1:18">
      <c r="A600">
        <v>24398</v>
      </c>
      <c r="B600" t="s">
        <v>13</v>
      </c>
      <c r="C600" t="str">
        <f t="shared" si="45"/>
        <v>Married</v>
      </c>
      <c r="D600" t="s">
        <v>13</v>
      </c>
      <c r="E600" t="str">
        <f t="shared" si="46"/>
        <v>Male</v>
      </c>
      <c r="F600" s="3">
        <v>130000</v>
      </c>
      <c r="G600" s="3" t="str">
        <f t="shared" si="47"/>
        <v>Upper Middle Class</v>
      </c>
      <c r="H600">
        <v>1</v>
      </c>
      <c r="I600" t="s">
        <v>34</v>
      </c>
      <c r="J600" t="s">
        <v>31</v>
      </c>
      <c r="K600" t="s">
        <v>17</v>
      </c>
      <c r="L600" t="str">
        <f t="shared" si="48"/>
        <v>Home Owner</v>
      </c>
      <c r="M600">
        <v>4</v>
      </c>
      <c r="N600" t="s">
        <v>18</v>
      </c>
      <c r="O600" t="s">
        <v>35</v>
      </c>
      <c r="P600">
        <v>41</v>
      </c>
      <c r="Q600" t="str">
        <f t="shared" si="49"/>
        <v>35 to 44 yrs</v>
      </c>
      <c r="R600" t="s">
        <v>20</v>
      </c>
    </row>
    <row r="601" spans="1:18">
      <c r="A601">
        <v>19002</v>
      </c>
      <c r="B601" t="s">
        <v>13</v>
      </c>
      <c r="C601" t="str">
        <f t="shared" si="45"/>
        <v>Married</v>
      </c>
      <c r="D601" t="s">
        <v>14</v>
      </c>
      <c r="E601" t="str">
        <f t="shared" si="46"/>
        <v>Female</v>
      </c>
      <c r="F601" s="3">
        <v>60000</v>
      </c>
      <c r="G601" s="3" t="str">
        <f t="shared" si="47"/>
        <v>Middle Class</v>
      </c>
      <c r="H601">
        <v>2</v>
      </c>
      <c r="I601" t="s">
        <v>21</v>
      </c>
      <c r="J601" t="s">
        <v>23</v>
      </c>
      <c r="K601" t="s">
        <v>17</v>
      </c>
      <c r="L601" t="str">
        <f t="shared" si="48"/>
        <v>Home Owner</v>
      </c>
      <c r="M601">
        <v>1</v>
      </c>
      <c r="N601" t="s">
        <v>24</v>
      </c>
      <c r="O601" t="s">
        <v>35</v>
      </c>
      <c r="P601">
        <v>57</v>
      </c>
      <c r="Q601" t="str">
        <f t="shared" si="49"/>
        <v>55 to 64 yrs</v>
      </c>
      <c r="R601" t="s">
        <v>17</v>
      </c>
    </row>
    <row r="602" spans="1:18">
      <c r="A602">
        <v>28609</v>
      </c>
      <c r="B602" t="s">
        <v>13</v>
      </c>
      <c r="C602" t="str">
        <f t="shared" si="45"/>
        <v>Married</v>
      </c>
      <c r="D602" t="s">
        <v>13</v>
      </c>
      <c r="E602" t="str">
        <f t="shared" si="46"/>
        <v>Male</v>
      </c>
      <c r="F602" s="3">
        <v>30000</v>
      </c>
      <c r="G602" s="3" t="str">
        <f t="shared" si="47"/>
        <v>Lower Class</v>
      </c>
      <c r="H602">
        <v>2</v>
      </c>
      <c r="I602" t="s">
        <v>30</v>
      </c>
      <c r="J602" t="s">
        <v>16</v>
      </c>
      <c r="K602" t="s">
        <v>20</v>
      </c>
      <c r="L602" t="str">
        <f t="shared" si="48"/>
        <v>Tenant</v>
      </c>
      <c r="M602">
        <v>2</v>
      </c>
      <c r="N602" t="s">
        <v>18</v>
      </c>
      <c r="O602" t="s">
        <v>35</v>
      </c>
      <c r="P602">
        <v>49</v>
      </c>
      <c r="Q602" t="str">
        <f t="shared" si="49"/>
        <v>45 to 54 yrs</v>
      </c>
      <c r="R602" t="s">
        <v>20</v>
      </c>
    </row>
    <row r="603" spans="1:18">
      <c r="A603">
        <v>29231</v>
      </c>
      <c r="B603" t="s">
        <v>25</v>
      </c>
      <c r="C603" t="str">
        <f t="shared" si="45"/>
        <v>Single</v>
      </c>
      <c r="D603" t="s">
        <v>13</v>
      </c>
      <c r="E603" t="str">
        <f t="shared" si="46"/>
        <v>Male</v>
      </c>
      <c r="F603" s="3">
        <v>80000</v>
      </c>
      <c r="G603" s="3" t="str">
        <f t="shared" si="47"/>
        <v>Middle Class</v>
      </c>
      <c r="H603">
        <v>4</v>
      </c>
      <c r="I603" t="s">
        <v>21</v>
      </c>
      <c r="J603" t="s">
        <v>23</v>
      </c>
      <c r="K603" t="s">
        <v>20</v>
      </c>
      <c r="L603" t="str">
        <f t="shared" si="48"/>
        <v>Tenant</v>
      </c>
      <c r="M603">
        <v>2</v>
      </c>
      <c r="N603" t="s">
        <v>18</v>
      </c>
      <c r="O603" t="s">
        <v>35</v>
      </c>
      <c r="P603">
        <v>43</v>
      </c>
      <c r="Q603" t="str">
        <f t="shared" si="49"/>
        <v>35 to 44 yrs</v>
      </c>
      <c r="R603" t="s">
        <v>20</v>
      </c>
    </row>
    <row r="604" spans="1:18">
      <c r="A604">
        <v>18858</v>
      </c>
      <c r="B604" t="s">
        <v>25</v>
      </c>
      <c r="C604" t="str">
        <f t="shared" si="45"/>
        <v>Single</v>
      </c>
      <c r="D604" t="s">
        <v>13</v>
      </c>
      <c r="E604" t="str">
        <f t="shared" si="46"/>
        <v>Male</v>
      </c>
      <c r="F604" s="3">
        <v>60000</v>
      </c>
      <c r="G604" s="3" t="str">
        <f t="shared" si="47"/>
        <v>Middle Class</v>
      </c>
      <c r="H604">
        <v>2</v>
      </c>
      <c r="I604" t="s">
        <v>32</v>
      </c>
      <c r="J604" t="s">
        <v>16</v>
      </c>
      <c r="K604" t="s">
        <v>17</v>
      </c>
      <c r="L604" t="str">
        <f t="shared" si="48"/>
        <v>Home Owner</v>
      </c>
      <c r="M604">
        <v>2</v>
      </c>
      <c r="N604" t="s">
        <v>26</v>
      </c>
      <c r="O604" t="s">
        <v>35</v>
      </c>
      <c r="P604">
        <v>52</v>
      </c>
      <c r="Q604" t="str">
        <f t="shared" si="49"/>
        <v>45 to 54 yrs</v>
      </c>
      <c r="R604" t="s">
        <v>17</v>
      </c>
    </row>
    <row r="605" spans="1:18">
      <c r="A605">
        <v>20000</v>
      </c>
      <c r="B605" t="s">
        <v>13</v>
      </c>
      <c r="C605" t="str">
        <f t="shared" si="45"/>
        <v>Married</v>
      </c>
      <c r="D605" t="s">
        <v>13</v>
      </c>
      <c r="E605" t="str">
        <f t="shared" si="46"/>
        <v>Male</v>
      </c>
      <c r="F605" s="3">
        <v>60000</v>
      </c>
      <c r="G605" s="3" t="str">
        <f t="shared" si="47"/>
        <v>Middle Class</v>
      </c>
      <c r="H605">
        <v>1</v>
      </c>
      <c r="I605" t="s">
        <v>34</v>
      </c>
      <c r="J605" t="s">
        <v>23</v>
      </c>
      <c r="K605" t="s">
        <v>17</v>
      </c>
      <c r="L605" t="str">
        <f t="shared" si="48"/>
        <v>Home Owner</v>
      </c>
      <c r="M605">
        <v>0</v>
      </c>
      <c r="N605" t="s">
        <v>18</v>
      </c>
      <c r="O605" t="s">
        <v>35</v>
      </c>
      <c r="P605">
        <v>35</v>
      </c>
      <c r="Q605" t="str">
        <f t="shared" si="49"/>
        <v>35 to 44 yrs</v>
      </c>
      <c r="R605" t="s">
        <v>17</v>
      </c>
    </row>
    <row r="606" spans="1:18">
      <c r="A606">
        <v>25261</v>
      </c>
      <c r="B606" t="s">
        <v>13</v>
      </c>
      <c r="C606" t="str">
        <f t="shared" si="45"/>
        <v>Married</v>
      </c>
      <c r="D606" t="s">
        <v>13</v>
      </c>
      <c r="E606" t="str">
        <f t="shared" si="46"/>
        <v>Male</v>
      </c>
      <c r="F606" s="3">
        <v>40000</v>
      </c>
      <c r="G606" s="3" t="str">
        <f t="shared" si="47"/>
        <v>Lower Class</v>
      </c>
      <c r="H606">
        <v>0</v>
      </c>
      <c r="I606" t="s">
        <v>30</v>
      </c>
      <c r="J606" t="s">
        <v>16</v>
      </c>
      <c r="K606" t="s">
        <v>17</v>
      </c>
      <c r="L606" t="str">
        <f t="shared" si="48"/>
        <v>Home Owner</v>
      </c>
      <c r="M606">
        <v>2</v>
      </c>
      <c r="N606" t="s">
        <v>26</v>
      </c>
      <c r="O606" t="s">
        <v>35</v>
      </c>
      <c r="P606">
        <v>27</v>
      </c>
      <c r="Q606" t="str">
        <f t="shared" si="49"/>
        <v>25 to 34 yrs</v>
      </c>
      <c r="R606" t="s">
        <v>20</v>
      </c>
    </row>
    <row r="607" spans="1:18">
      <c r="A607">
        <v>17458</v>
      </c>
      <c r="B607" t="s">
        <v>25</v>
      </c>
      <c r="C607" t="str">
        <f t="shared" si="45"/>
        <v>Single</v>
      </c>
      <c r="D607" t="s">
        <v>13</v>
      </c>
      <c r="E607" t="str">
        <f t="shared" si="46"/>
        <v>Male</v>
      </c>
      <c r="F607" s="3">
        <v>70000</v>
      </c>
      <c r="G607" s="3" t="str">
        <f t="shared" si="47"/>
        <v>Middle Class</v>
      </c>
      <c r="H607">
        <v>3</v>
      </c>
      <c r="I607" t="s">
        <v>30</v>
      </c>
      <c r="J607" t="s">
        <v>23</v>
      </c>
      <c r="K607" t="s">
        <v>17</v>
      </c>
      <c r="L607" t="str">
        <f t="shared" si="48"/>
        <v>Home Owner</v>
      </c>
      <c r="M607">
        <v>0</v>
      </c>
      <c r="N607" t="s">
        <v>26</v>
      </c>
      <c r="O607" t="s">
        <v>35</v>
      </c>
      <c r="P607">
        <v>52</v>
      </c>
      <c r="Q607" t="str">
        <f t="shared" si="49"/>
        <v>45 to 54 yrs</v>
      </c>
      <c r="R607" t="s">
        <v>17</v>
      </c>
    </row>
    <row r="608" spans="1:18">
      <c r="A608">
        <v>11644</v>
      </c>
      <c r="B608" t="s">
        <v>25</v>
      </c>
      <c r="C608" t="str">
        <f t="shared" si="45"/>
        <v>Single</v>
      </c>
      <c r="D608" t="s">
        <v>13</v>
      </c>
      <c r="E608" t="str">
        <f t="shared" si="46"/>
        <v>Male</v>
      </c>
      <c r="F608" s="3">
        <v>40000</v>
      </c>
      <c r="G608" s="3" t="str">
        <f t="shared" si="47"/>
        <v>Lower Class</v>
      </c>
      <c r="H608">
        <v>2</v>
      </c>
      <c r="I608" t="s">
        <v>15</v>
      </c>
      <c r="J608" t="s">
        <v>16</v>
      </c>
      <c r="K608" t="s">
        <v>17</v>
      </c>
      <c r="L608" t="str">
        <f t="shared" si="48"/>
        <v>Home Owner</v>
      </c>
      <c r="M608">
        <v>0</v>
      </c>
      <c r="N608" t="s">
        <v>24</v>
      </c>
      <c r="O608" t="s">
        <v>35</v>
      </c>
      <c r="P608">
        <v>36</v>
      </c>
      <c r="Q608" t="str">
        <f t="shared" si="49"/>
        <v>35 to 44 yrs</v>
      </c>
      <c r="R608" t="s">
        <v>20</v>
      </c>
    </row>
    <row r="609" spans="1:18">
      <c r="A609">
        <v>16145</v>
      </c>
      <c r="B609" t="s">
        <v>25</v>
      </c>
      <c r="C609" t="str">
        <f t="shared" si="45"/>
        <v>Single</v>
      </c>
      <c r="D609" t="s">
        <v>14</v>
      </c>
      <c r="E609" t="str">
        <f t="shared" si="46"/>
        <v>Female</v>
      </c>
      <c r="F609" s="3">
        <v>70000</v>
      </c>
      <c r="G609" s="3" t="str">
        <f t="shared" si="47"/>
        <v>Middle Class</v>
      </c>
      <c r="H609">
        <v>5</v>
      </c>
      <c r="I609" t="s">
        <v>34</v>
      </c>
      <c r="J609" t="s">
        <v>23</v>
      </c>
      <c r="K609" t="s">
        <v>17</v>
      </c>
      <c r="L609" t="str">
        <f t="shared" si="48"/>
        <v>Home Owner</v>
      </c>
      <c r="M609">
        <v>3</v>
      </c>
      <c r="N609" t="s">
        <v>33</v>
      </c>
      <c r="O609" t="s">
        <v>35</v>
      </c>
      <c r="P609">
        <v>46</v>
      </c>
      <c r="Q609" t="str">
        <f t="shared" si="49"/>
        <v>45 to 54 yrs</v>
      </c>
      <c r="R609" t="s">
        <v>17</v>
      </c>
    </row>
    <row r="610" spans="1:18">
      <c r="A610">
        <v>16890</v>
      </c>
      <c r="B610" t="s">
        <v>13</v>
      </c>
      <c r="C610" t="str">
        <f t="shared" si="45"/>
        <v>Married</v>
      </c>
      <c r="D610" t="s">
        <v>13</v>
      </c>
      <c r="E610" t="str">
        <f t="shared" si="46"/>
        <v>Male</v>
      </c>
      <c r="F610" s="3">
        <v>60000</v>
      </c>
      <c r="G610" s="3" t="str">
        <f t="shared" si="47"/>
        <v>Middle Class</v>
      </c>
      <c r="H610">
        <v>3</v>
      </c>
      <c r="I610" t="s">
        <v>32</v>
      </c>
      <c r="J610" t="s">
        <v>16</v>
      </c>
      <c r="K610" t="s">
        <v>17</v>
      </c>
      <c r="L610" t="str">
        <f t="shared" si="48"/>
        <v>Home Owner</v>
      </c>
      <c r="M610">
        <v>2</v>
      </c>
      <c r="N610" t="s">
        <v>26</v>
      </c>
      <c r="O610" t="s">
        <v>35</v>
      </c>
      <c r="P610">
        <v>52</v>
      </c>
      <c r="Q610" t="str">
        <f t="shared" si="49"/>
        <v>45 to 54 yrs</v>
      </c>
      <c r="R610" t="s">
        <v>17</v>
      </c>
    </row>
    <row r="611" spans="1:18">
      <c r="A611">
        <v>25983</v>
      </c>
      <c r="B611" t="s">
        <v>13</v>
      </c>
      <c r="C611" t="str">
        <f t="shared" si="45"/>
        <v>Married</v>
      </c>
      <c r="D611" t="s">
        <v>13</v>
      </c>
      <c r="E611" t="str">
        <f t="shared" si="46"/>
        <v>Male</v>
      </c>
      <c r="F611" s="3">
        <v>70000</v>
      </c>
      <c r="G611" s="3" t="str">
        <f t="shared" si="47"/>
        <v>Middle Class</v>
      </c>
      <c r="H611">
        <v>0</v>
      </c>
      <c r="I611" t="s">
        <v>15</v>
      </c>
      <c r="J611" t="s">
        <v>23</v>
      </c>
      <c r="K611" t="s">
        <v>20</v>
      </c>
      <c r="L611" t="str">
        <f t="shared" si="48"/>
        <v>Tenant</v>
      </c>
      <c r="M611">
        <v>1</v>
      </c>
      <c r="N611" t="s">
        <v>18</v>
      </c>
      <c r="O611" t="s">
        <v>35</v>
      </c>
      <c r="P611">
        <v>43</v>
      </c>
      <c r="Q611" t="str">
        <f t="shared" si="49"/>
        <v>35 to 44 yrs</v>
      </c>
      <c r="R611" t="s">
        <v>20</v>
      </c>
    </row>
    <row r="612" spans="1:18">
      <c r="A612">
        <v>14633</v>
      </c>
      <c r="B612" t="s">
        <v>13</v>
      </c>
      <c r="C612" t="str">
        <f t="shared" si="45"/>
        <v>Married</v>
      </c>
      <c r="D612" t="s">
        <v>13</v>
      </c>
      <c r="E612" t="str">
        <f t="shared" si="46"/>
        <v>Male</v>
      </c>
      <c r="F612" s="3">
        <v>60000</v>
      </c>
      <c r="G612" s="3" t="str">
        <f t="shared" si="47"/>
        <v>Middle Class</v>
      </c>
      <c r="H612">
        <v>1</v>
      </c>
      <c r="I612" t="s">
        <v>21</v>
      </c>
      <c r="J612" t="s">
        <v>16</v>
      </c>
      <c r="K612" t="s">
        <v>17</v>
      </c>
      <c r="L612" t="str">
        <f t="shared" si="48"/>
        <v>Home Owner</v>
      </c>
      <c r="M612">
        <v>1</v>
      </c>
      <c r="N612" t="s">
        <v>24</v>
      </c>
      <c r="O612" t="s">
        <v>35</v>
      </c>
      <c r="P612">
        <v>44</v>
      </c>
      <c r="Q612" t="str">
        <f t="shared" si="49"/>
        <v>35 to 44 yrs</v>
      </c>
      <c r="R612" t="s">
        <v>20</v>
      </c>
    </row>
    <row r="613" spans="1:18">
      <c r="A613">
        <v>22994</v>
      </c>
      <c r="B613" t="s">
        <v>13</v>
      </c>
      <c r="C613" t="str">
        <f t="shared" si="45"/>
        <v>Married</v>
      </c>
      <c r="D613" t="s">
        <v>14</v>
      </c>
      <c r="E613" t="str">
        <f t="shared" si="46"/>
        <v>Female</v>
      </c>
      <c r="F613" s="3">
        <v>80000</v>
      </c>
      <c r="G613" s="3" t="str">
        <f t="shared" si="47"/>
        <v>Middle Class</v>
      </c>
      <c r="H613">
        <v>0</v>
      </c>
      <c r="I613" t="s">
        <v>15</v>
      </c>
      <c r="J613" t="s">
        <v>31</v>
      </c>
      <c r="K613" t="s">
        <v>17</v>
      </c>
      <c r="L613" t="str">
        <f t="shared" si="48"/>
        <v>Home Owner</v>
      </c>
      <c r="M613">
        <v>1</v>
      </c>
      <c r="N613" t="s">
        <v>29</v>
      </c>
      <c r="O613" t="s">
        <v>35</v>
      </c>
      <c r="P613">
        <v>34</v>
      </c>
      <c r="Q613" t="str">
        <f t="shared" si="49"/>
        <v>25 to 34 yrs</v>
      </c>
      <c r="R613" t="s">
        <v>17</v>
      </c>
    </row>
    <row r="614" spans="1:18">
      <c r="A614">
        <v>22983</v>
      </c>
      <c r="B614" t="s">
        <v>25</v>
      </c>
      <c r="C614" t="str">
        <f t="shared" si="45"/>
        <v>Single</v>
      </c>
      <c r="D614" t="s">
        <v>14</v>
      </c>
      <c r="E614" t="str">
        <f t="shared" si="46"/>
        <v>Female</v>
      </c>
      <c r="F614" s="3">
        <v>30000</v>
      </c>
      <c r="G614" s="3" t="str">
        <f t="shared" si="47"/>
        <v>Lower Class</v>
      </c>
      <c r="H614">
        <v>0</v>
      </c>
      <c r="I614" t="s">
        <v>32</v>
      </c>
      <c r="J614" t="s">
        <v>22</v>
      </c>
      <c r="K614" t="s">
        <v>17</v>
      </c>
      <c r="L614" t="str">
        <f t="shared" si="48"/>
        <v>Home Owner</v>
      </c>
      <c r="M614">
        <v>2</v>
      </c>
      <c r="N614" t="s">
        <v>26</v>
      </c>
      <c r="O614" t="s">
        <v>35</v>
      </c>
      <c r="P614">
        <v>27</v>
      </c>
      <c r="Q614" t="str">
        <f t="shared" si="49"/>
        <v>25 to 34 yrs</v>
      </c>
      <c r="R614" t="s">
        <v>20</v>
      </c>
    </row>
    <row r="615" spans="1:18">
      <c r="A615">
        <v>25184</v>
      </c>
      <c r="B615" t="s">
        <v>25</v>
      </c>
      <c r="C615" t="str">
        <f t="shared" si="45"/>
        <v>Single</v>
      </c>
      <c r="D615" t="s">
        <v>13</v>
      </c>
      <c r="E615" t="str">
        <f t="shared" si="46"/>
        <v>Male</v>
      </c>
      <c r="F615" s="3">
        <v>110000</v>
      </c>
      <c r="G615" s="3" t="str">
        <f t="shared" si="47"/>
        <v>Middle Class</v>
      </c>
      <c r="H615">
        <v>1</v>
      </c>
      <c r="I615" t="s">
        <v>21</v>
      </c>
      <c r="J615" t="s">
        <v>23</v>
      </c>
      <c r="K615" t="s">
        <v>17</v>
      </c>
      <c r="L615" t="str">
        <f t="shared" si="48"/>
        <v>Home Owner</v>
      </c>
      <c r="M615">
        <v>4</v>
      </c>
      <c r="N615" t="s">
        <v>26</v>
      </c>
      <c r="O615" t="s">
        <v>35</v>
      </c>
      <c r="P615">
        <v>45</v>
      </c>
      <c r="Q615" t="str">
        <f t="shared" si="49"/>
        <v>45 to 54 yrs</v>
      </c>
      <c r="R615" t="s">
        <v>17</v>
      </c>
    </row>
    <row r="616" spans="1:18">
      <c r="A616">
        <v>14469</v>
      </c>
      <c r="B616" t="s">
        <v>13</v>
      </c>
      <c r="C616" t="str">
        <f t="shared" si="45"/>
        <v>Married</v>
      </c>
      <c r="D616" t="s">
        <v>14</v>
      </c>
      <c r="E616" t="str">
        <f t="shared" si="46"/>
        <v>Female</v>
      </c>
      <c r="F616" s="3">
        <v>100000</v>
      </c>
      <c r="G616" s="3" t="str">
        <f t="shared" si="47"/>
        <v>Middle Class</v>
      </c>
      <c r="H616">
        <v>3</v>
      </c>
      <c r="I616" t="s">
        <v>21</v>
      </c>
      <c r="J616" t="s">
        <v>23</v>
      </c>
      <c r="K616" t="s">
        <v>17</v>
      </c>
      <c r="L616" t="str">
        <f t="shared" si="48"/>
        <v>Home Owner</v>
      </c>
      <c r="M616">
        <v>4</v>
      </c>
      <c r="N616" t="s">
        <v>29</v>
      </c>
      <c r="O616" t="s">
        <v>35</v>
      </c>
      <c r="P616">
        <v>45</v>
      </c>
      <c r="Q616" t="str">
        <f t="shared" si="49"/>
        <v>45 to 54 yrs</v>
      </c>
      <c r="R616" t="s">
        <v>20</v>
      </c>
    </row>
    <row r="617" spans="1:18">
      <c r="A617">
        <v>11538</v>
      </c>
      <c r="B617" t="s">
        <v>25</v>
      </c>
      <c r="C617" t="str">
        <f t="shared" si="45"/>
        <v>Single</v>
      </c>
      <c r="D617" t="s">
        <v>14</v>
      </c>
      <c r="E617" t="str">
        <f t="shared" si="46"/>
        <v>Female</v>
      </c>
      <c r="F617" s="3">
        <v>60000</v>
      </c>
      <c r="G617" s="3" t="str">
        <f t="shared" si="47"/>
        <v>Middle Class</v>
      </c>
      <c r="H617">
        <v>4</v>
      </c>
      <c r="I617" t="s">
        <v>34</v>
      </c>
      <c r="J617" t="s">
        <v>16</v>
      </c>
      <c r="K617" t="s">
        <v>20</v>
      </c>
      <c r="L617" t="str">
        <f t="shared" si="48"/>
        <v>Tenant</v>
      </c>
      <c r="M617">
        <v>0</v>
      </c>
      <c r="N617" t="s">
        <v>18</v>
      </c>
      <c r="O617" t="s">
        <v>35</v>
      </c>
      <c r="P617">
        <v>47</v>
      </c>
      <c r="Q617" t="str">
        <f t="shared" si="49"/>
        <v>45 to 54 yrs</v>
      </c>
      <c r="R617" t="s">
        <v>17</v>
      </c>
    </row>
    <row r="618" spans="1:18">
      <c r="A618">
        <v>16245</v>
      </c>
      <c r="B618" t="s">
        <v>25</v>
      </c>
      <c r="C618" t="str">
        <f t="shared" si="45"/>
        <v>Single</v>
      </c>
      <c r="D618" t="s">
        <v>14</v>
      </c>
      <c r="E618" t="str">
        <f t="shared" si="46"/>
        <v>Female</v>
      </c>
      <c r="F618" s="3">
        <v>80000</v>
      </c>
      <c r="G618" s="3" t="str">
        <f t="shared" si="47"/>
        <v>Middle Class</v>
      </c>
      <c r="H618">
        <v>4</v>
      </c>
      <c r="I618" t="s">
        <v>34</v>
      </c>
      <c r="J618" t="s">
        <v>16</v>
      </c>
      <c r="K618" t="s">
        <v>17</v>
      </c>
      <c r="L618" t="str">
        <f t="shared" si="48"/>
        <v>Home Owner</v>
      </c>
      <c r="M618">
        <v>0</v>
      </c>
      <c r="N618" t="s">
        <v>29</v>
      </c>
      <c r="O618" t="s">
        <v>35</v>
      </c>
      <c r="P618">
        <v>47</v>
      </c>
      <c r="Q618" t="str">
        <f t="shared" si="49"/>
        <v>45 to 54 yrs</v>
      </c>
      <c r="R618" t="s">
        <v>20</v>
      </c>
    </row>
    <row r="619" spans="1:18">
      <c r="A619">
        <v>17858</v>
      </c>
      <c r="B619" t="s">
        <v>13</v>
      </c>
      <c r="C619" t="str">
        <f t="shared" si="45"/>
        <v>Married</v>
      </c>
      <c r="D619" t="s">
        <v>13</v>
      </c>
      <c r="E619" t="str">
        <f t="shared" si="46"/>
        <v>Male</v>
      </c>
      <c r="F619" s="3">
        <v>40000</v>
      </c>
      <c r="G619" s="3" t="str">
        <f t="shared" si="47"/>
        <v>Lower Class</v>
      </c>
      <c r="H619">
        <v>4</v>
      </c>
      <c r="I619" t="s">
        <v>30</v>
      </c>
      <c r="J619" t="s">
        <v>16</v>
      </c>
      <c r="K619" t="s">
        <v>17</v>
      </c>
      <c r="L619" t="str">
        <f t="shared" si="48"/>
        <v>Home Owner</v>
      </c>
      <c r="M619">
        <v>2</v>
      </c>
      <c r="N619" t="s">
        <v>24</v>
      </c>
      <c r="O619" t="s">
        <v>35</v>
      </c>
      <c r="P619">
        <v>44</v>
      </c>
      <c r="Q619" t="str">
        <f t="shared" si="49"/>
        <v>35 to 44 yrs</v>
      </c>
      <c r="R619" t="s">
        <v>17</v>
      </c>
    </row>
    <row r="620" spans="1:18">
      <c r="A620">
        <v>25347</v>
      </c>
      <c r="B620" t="s">
        <v>25</v>
      </c>
      <c r="C620" t="str">
        <f t="shared" si="45"/>
        <v>Single</v>
      </c>
      <c r="D620" t="s">
        <v>14</v>
      </c>
      <c r="E620" t="str">
        <f t="shared" si="46"/>
        <v>Female</v>
      </c>
      <c r="F620" s="3">
        <v>20000</v>
      </c>
      <c r="G620" s="3" t="str">
        <f t="shared" si="47"/>
        <v>Lower Class</v>
      </c>
      <c r="H620">
        <v>3</v>
      </c>
      <c r="I620" t="s">
        <v>32</v>
      </c>
      <c r="J620" t="s">
        <v>22</v>
      </c>
      <c r="K620" t="s">
        <v>20</v>
      </c>
      <c r="L620" t="str">
        <f t="shared" si="48"/>
        <v>Tenant</v>
      </c>
      <c r="M620">
        <v>2</v>
      </c>
      <c r="N620" t="s">
        <v>18</v>
      </c>
      <c r="O620" t="s">
        <v>35</v>
      </c>
      <c r="P620">
        <v>49</v>
      </c>
      <c r="Q620" t="str">
        <f t="shared" si="49"/>
        <v>45 to 54 yrs</v>
      </c>
      <c r="R620" t="s">
        <v>20</v>
      </c>
    </row>
    <row r="621" spans="1:18">
      <c r="A621">
        <v>15814</v>
      </c>
      <c r="B621" t="s">
        <v>25</v>
      </c>
      <c r="C621" t="str">
        <f t="shared" si="45"/>
        <v>Single</v>
      </c>
      <c r="D621" t="s">
        <v>14</v>
      </c>
      <c r="E621" t="str">
        <f t="shared" si="46"/>
        <v>Female</v>
      </c>
      <c r="F621" s="3">
        <v>40000</v>
      </c>
      <c r="G621" s="3" t="str">
        <f t="shared" si="47"/>
        <v>Lower Class</v>
      </c>
      <c r="H621">
        <v>0</v>
      </c>
      <c r="I621" t="s">
        <v>30</v>
      </c>
      <c r="J621" t="s">
        <v>16</v>
      </c>
      <c r="K621" t="s">
        <v>17</v>
      </c>
      <c r="L621" t="str">
        <f t="shared" si="48"/>
        <v>Home Owner</v>
      </c>
      <c r="M621">
        <v>1</v>
      </c>
      <c r="N621" t="s">
        <v>26</v>
      </c>
      <c r="O621" t="s">
        <v>35</v>
      </c>
      <c r="P621">
        <v>30</v>
      </c>
      <c r="Q621" t="str">
        <f t="shared" si="49"/>
        <v>25 to 34 yrs</v>
      </c>
      <c r="R621" t="s">
        <v>20</v>
      </c>
    </row>
    <row r="622" spans="1:18">
      <c r="A622">
        <v>11259</v>
      </c>
      <c r="B622" t="s">
        <v>13</v>
      </c>
      <c r="C622" t="str">
        <f t="shared" si="45"/>
        <v>Married</v>
      </c>
      <c r="D622" t="s">
        <v>14</v>
      </c>
      <c r="E622" t="str">
        <f t="shared" si="46"/>
        <v>Female</v>
      </c>
      <c r="F622" s="3">
        <v>100000</v>
      </c>
      <c r="G622" s="3" t="str">
        <f t="shared" si="47"/>
        <v>Middle Class</v>
      </c>
      <c r="H622">
        <v>4</v>
      </c>
      <c r="I622" t="s">
        <v>21</v>
      </c>
      <c r="J622" t="s">
        <v>23</v>
      </c>
      <c r="K622" t="s">
        <v>17</v>
      </c>
      <c r="L622" t="str">
        <f t="shared" si="48"/>
        <v>Home Owner</v>
      </c>
      <c r="M622">
        <v>4</v>
      </c>
      <c r="N622" t="s">
        <v>24</v>
      </c>
      <c r="O622" t="s">
        <v>35</v>
      </c>
      <c r="P622">
        <v>41</v>
      </c>
      <c r="Q622" t="str">
        <f t="shared" si="49"/>
        <v>35 to 44 yrs</v>
      </c>
      <c r="R622" t="s">
        <v>17</v>
      </c>
    </row>
    <row r="623" spans="1:18">
      <c r="A623">
        <v>11200</v>
      </c>
      <c r="B623" t="s">
        <v>13</v>
      </c>
      <c r="C623" t="str">
        <f t="shared" si="45"/>
        <v>Married</v>
      </c>
      <c r="D623" t="s">
        <v>13</v>
      </c>
      <c r="E623" t="str">
        <f t="shared" si="46"/>
        <v>Male</v>
      </c>
      <c r="F623" s="3">
        <v>70000</v>
      </c>
      <c r="G623" s="3" t="str">
        <f t="shared" si="47"/>
        <v>Middle Class</v>
      </c>
      <c r="H623">
        <v>4</v>
      </c>
      <c r="I623" t="s">
        <v>15</v>
      </c>
      <c r="J623" t="s">
        <v>31</v>
      </c>
      <c r="K623" t="s">
        <v>17</v>
      </c>
      <c r="L623" t="str">
        <f t="shared" si="48"/>
        <v>Home Owner</v>
      </c>
      <c r="M623">
        <v>1</v>
      </c>
      <c r="N623" t="s">
        <v>29</v>
      </c>
      <c r="O623" t="s">
        <v>35</v>
      </c>
      <c r="P623">
        <v>58</v>
      </c>
      <c r="Q623" t="str">
        <f t="shared" si="49"/>
        <v>55 to 64 yrs</v>
      </c>
      <c r="R623" t="s">
        <v>20</v>
      </c>
    </row>
    <row r="624" spans="1:18">
      <c r="A624">
        <v>25101</v>
      </c>
      <c r="B624" t="s">
        <v>13</v>
      </c>
      <c r="C624" t="str">
        <f t="shared" si="45"/>
        <v>Married</v>
      </c>
      <c r="D624" t="s">
        <v>13</v>
      </c>
      <c r="E624" t="str">
        <f t="shared" si="46"/>
        <v>Male</v>
      </c>
      <c r="F624" s="3">
        <v>60000</v>
      </c>
      <c r="G624" s="3" t="str">
        <f t="shared" si="47"/>
        <v>Middle Class</v>
      </c>
      <c r="H624">
        <v>5</v>
      </c>
      <c r="I624" t="s">
        <v>15</v>
      </c>
      <c r="J624" t="s">
        <v>23</v>
      </c>
      <c r="K624" t="s">
        <v>17</v>
      </c>
      <c r="L624" t="str">
        <f t="shared" si="48"/>
        <v>Home Owner</v>
      </c>
      <c r="M624">
        <v>1</v>
      </c>
      <c r="N624" t="s">
        <v>24</v>
      </c>
      <c r="O624" t="s">
        <v>35</v>
      </c>
      <c r="P624">
        <v>47</v>
      </c>
      <c r="Q624" t="str">
        <f t="shared" si="49"/>
        <v>45 to 54 yrs</v>
      </c>
      <c r="R624" t="s">
        <v>20</v>
      </c>
    </row>
    <row r="625" spans="1:18">
      <c r="A625">
        <v>21801</v>
      </c>
      <c r="B625" t="s">
        <v>13</v>
      </c>
      <c r="C625" t="str">
        <f t="shared" si="45"/>
        <v>Married</v>
      </c>
      <c r="D625" t="s">
        <v>14</v>
      </c>
      <c r="E625" t="str">
        <f t="shared" si="46"/>
        <v>Female</v>
      </c>
      <c r="F625" s="3">
        <v>70000</v>
      </c>
      <c r="G625" s="3" t="str">
        <f t="shared" si="47"/>
        <v>Middle Class</v>
      </c>
      <c r="H625">
        <v>4</v>
      </c>
      <c r="I625" t="s">
        <v>21</v>
      </c>
      <c r="J625" t="s">
        <v>23</v>
      </c>
      <c r="K625" t="s">
        <v>17</v>
      </c>
      <c r="L625" t="str">
        <f t="shared" si="48"/>
        <v>Home Owner</v>
      </c>
      <c r="M625">
        <v>1</v>
      </c>
      <c r="N625" t="s">
        <v>29</v>
      </c>
      <c r="O625" t="s">
        <v>35</v>
      </c>
      <c r="P625">
        <v>55</v>
      </c>
      <c r="Q625" t="str">
        <f t="shared" si="49"/>
        <v>55 to 64 yrs</v>
      </c>
      <c r="R625" t="s">
        <v>20</v>
      </c>
    </row>
    <row r="626" spans="1:18">
      <c r="A626">
        <v>25943</v>
      </c>
      <c r="B626" t="s">
        <v>25</v>
      </c>
      <c r="C626" t="str">
        <f t="shared" si="45"/>
        <v>Single</v>
      </c>
      <c r="D626" t="s">
        <v>14</v>
      </c>
      <c r="E626" t="str">
        <f t="shared" si="46"/>
        <v>Female</v>
      </c>
      <c r="F626" s="3">
        <v>70000</v>
      </c>
      <c r="G626" s="3" t="str">
        <f t="shared" si="47"/>
        <v>Middle Class</v>
      </c>
      <c r="H626">
        <v>0</v>
      </c>
      <c r="I626" t="s">
        <v>21</v>
      </c>
      <c r="J626" t="s">
        <v>16</v>
      </c>
      <c r="K626" t="s">
        <v>20</v>
      </c>
      <c r="L626" t="str">
        <f t="shared" si="48"/>
        <v>Tenant</v>
      </c>
      <c r="M626">
        <v>2</v>
      </c>
      <c r="N626" t="s">
        <v>18</v>
      </c>
      <c r="O626" t="s">
        <v>35</v>
      </c>
      <c r="P626">
        <v>27</v>
      </c>
      <c r="Q626" t="str">
        <f t="shared" si="49"/>
        <v>25 to 34 yrs</v>
      </c>
      <c r="R626" t="s">
        <v>17</v>
      </c>
    </row>
    <row r="627" spans="1:18">
      <c r="A627">
        <v>22127</v>
      </c>
      <c r="B627" t="s">
        <v>13</v>
      </c>
      <c r="C627" t="str">
        <f t="shared" si="45"/>
        <v>Married</v>
      </c>
      <c r="D627" t="s">
        <v>13</v>
      </c>
      <c r="E627" t="str">
        <f t="shared" si="46"/>
        <v>Male</v>
      </c>
      <c r="F627" s="3">
        <v>60000</v>
      </c>
      <c r="G627" s="3" t="str">
        <f t="shared" si="47"/>
        <v>Middle Class</v>
      </c>
      <c r="H627">
        <v>3</v>
      </c>
      <c r="I627" t="s">
        <v>34</v>
      </c>
      <c r="J627" t="s">
        <v>31</v>
      </c>
      <c r="K627" t="s">
        <v>17</v>
      </c>
      <c r="L627" t="str">
        <f t="shared" si="48"/>
        <v>Home Owner</v>
      </c>
      <c r="M627">
        <v>2</v>
      </c>
      <c r="N627" t="s">
        <v>29</v>
      </c>
      <c r="O627" t="s">
        <v>35</v>
      </c>
      <c r="P627">
        <v>67</v>
      </c>
      <c r="Q627" t="str">
        <f t="shared" si="49"/>
        <v>65 yrs &amp; Above</v>
      </c>
      <c r="R627" t="s">
        <v>20</v>
      </c>
    </row>
    <row r="628" spans="1:18">
      <c r="A628">
        <v>20414</v>
      </c>
      <c r="B628" t="s">
        <v>13</v>
      </c>
      <c r="C628" t="str">
        <f t="shared" si="45"/>
        <v>Married</v>
      </c>
      <c r="D628" t="s">
        <v>14</v>
      </c>
      <c r="E628" t="str">
        <f t="shared" si="46"/>
        <v>Female</v>
      </c>
      <c r="F628" s="3">
        <v>60000</v>
      </c>
      <c r="G628" s="3" t="str">
        <f t="shared" si="47"/>
        <v>Middle Class</v>
      </c>
      <c r="H628">
        <v>0</v>
      </c>
      <c r="I628" t="s">
        <v>21</v>
      </c>
      <c r="J628" t="s">
        <v>16</v>
      </c>
      <c r="K628" t="s">
        <v>17</v>
      </c>
      <c r="L628" t="str">
        <f t="shared" si="48"/>
        <v>Home Owner</v>
      </c>
      <c r="M628">
        <v>2</v>
      </c>
      <c r="N628" t="s">
        <v>26</v>
      </c>
      <c r="O628" t="s">
        <v>35</v>
      </c>
      <c r="P628">
        <v>29</v>
      </c>
      <c r="Q628" t="str">
        <f t="shared" si="49"/>
        <v>25 to 34 yrs</v>
      </c>
      <c r="R628" t="s">
        <v>20</v>
      </c>
    </row>
    <row r="629" spans="1:18">
      <c r="A629">
        <v>23672</v>
      </c>
      <c r="B629" t="s">
        <v>13</v>
      </c>
      <c r="C629" t="str">
        <f t="shared" si="45"/>
        <v>Married</v>
      </c>
      <c r="D629" t="s">
        <v>14</v>
      </c>
      <c r="E629" t="str">
        <f t="shared" si="46"/>
        <v>Female</v>
      </c>
      <c r="F629" s="3">
        <v>60000</v>
      </c>
      <c r="G629" s="3" t="str">
        <f t="shared" si="47"/>
        <v>Middle Class</v>
      </c>
      <c r="H629">
        <v>3</v>
      </c>
      <c r="I629" t="s">
        <v>34</v>
      </c>
      <c r="J629" t="s">
        <v>31</v>
      </c>
      <c r="K629" t="s">
        <v>17</v>
      </c>
      <c r="L629" t="str">
        <f t="shared" si="48"/>
        <v>Home Owner</v>
      </c>
      <c r="M629">
        <v>2</v>
      </c>
      <c r="N629" t="s">
        <v>29</v>
      </c>
      <c r="O629" t="s">
        <v>35</v>
      </c>
      <c r="P629">
        <v>67</v>
      </c>
      <c r="Q629" t="str">
        <f t="shared" si="49"/>
        <v>65 yrs &amp; Above</v>
      </c>
      <c r="R629" t="s">
        <v>20</v>
      </c>
    </row>
    <row r="630" spans="1:18">
      <c r="A630">
        <v>29255</v>
      </c>
      <c r="B630" t="s">
        <v>25</v>
      </c>
      <c r="C630" t="str">
        <f t="shared" si="45"/>
        <v>Single</v>
      </c>
      <c r="D630" t="s">
        <v>13</v>
      </c>
      <c r="E630" t="str">
        <f t="shared" si="46"/>
        <v>Male</v>
      </c>
      <c r="F630" s="3">
        <v>80000</v>
      </c>
      <c r="G630" s="3" t="str">
        <f t="shared" si="47"/>
        <v>Middle Class</v>
      </c>
      <c r="H630">
        <v>3</v>
      </c>
      <c r="I630" t="s">
        <v>21</v>
      </c>
      <c r="J630" t="s">
        <v>23</v>
      </c>
      <c r="K630" t="s">
        <v>20</v>
      </c>
      <c r="L630" t="str">
        <f t="shared" si="48"/>
        <v>Tenant</v>
      </c>
      <c r="M630">
        <v>1</v>
      </c>
      <c r="N630" t="s">
        <v>29</v>
      </c>
      <c r="O630" t="s">
        <v>35</v>
      </c>
      <c r="P630">
        <v>51</v>
      </c>
      <c r="Q630" t="str">
        <f t="shared" si="49"/>
        <v>45 to 54 yrs</v>
      </c>
      <c r="R630" t="s">
        <v>17</v>
      </c>
    </row>
    <row r="631" spans="1:18">
      <c r="A631">
        <v>28815</v>
      </c>
      <c r="B631" t="s">
        <v>13</v>
      </c>
      <c r="C631" t="str">
        <f t="shared" si="45"/>
        <v>Married</v>
      </c>
      <c r="D631" t="s">
        <v>14</v>
      </c>
      <c r="E631" t="str">
        <f t="shared" si="46"/>
        <v>Female</v>
      </c>
      <c r="F631" s="3">
        <v>50000</v>
      </c>
      <c r="G631" s="3" t="str">
        <f t="shared" si="47"/>
        <v>Lower Class</v>
      </c>
      <c r="H631">
        <v>1</v>
      </c>
      <c r="I631" t="s">
        <v>34</v>
      </c>
      <c r="J631" t="s">
        <v>16</v>
      </c>
      <c r="K631" t="s">
        <v>17</v>
      </c>
      <c r="L631" t="str">
        <f t="shared" si="48"/>
        <v>Home Owner</v>
      </c>
      <c r="M631">
        <v>0</v>
      </c>
      <c r="N631" t="s">
        <v>18</v>
      </c>
      <c r="O631" t="s">
        <v>35</v>
      </c>
      <c r="P631">
        <v>35</v>
      </c>
      <c r="Q631" t="str">
        <f t="shared" si="49"/>
        <v>35 to 44 yrs</v>
      </c>
      <c r="R631" t="s">
        <v>20</v>
      </c>
    </row>
    <row r="632" spans="1:18">
      <c r="A632">
        <v>27753</v>
      </c>
      <c r="B632" t="s">
        <v>13</v>
      </c>
      <c r="C632" t="str">
        <f t="shared" si="45"/>
        <v>Married</v>
      </c>
      <c r="D632" t="s">
        <v>13</v>
      </c>
      <c r="E632" t="str">
        <f t="shared" si="46"/>
        <v>Male</v>
      </c>
      <c r="F632" s="3">
        <v>40000</v>
      </c>
      <c r="G632" s="3" t="str">
        <f t="shared" si="47"/>
        <v>Lower Class</v>
      </c>
      <c r="H632">
        <v>0</v>
      </c>
      <c r="I632" t="s">
        <v>30</v>
      </c>
      <c r="J632" t="s">
        <v>16</v>
      </c>
      <c r="K632" t="s">
        <v>20</v>
      </c>
      <c r="L632" t="str">
        <f t="shared" si="48"/>
        <v>Tenant</v>
      </c>
      <c r="M632">
        <v>2</v>
      </c>
      <c r="N632" t="s">
        <v>29</v>
      </c>
      <c r="O632" t="s">
        <v>35</v>
      </c>
      <c r="P632">
        <v>30</v>
      </c>
      <c r="Q632" t="str">
        <f t="shared" si="49"/>
        <v>25 to 34 yrs</v>
      </c>
      <c r="R632" t="s">
        <v>20</v>
      </c>
    </row>
    <row r="633" spans="1:18">
      <c r="A633">
        <v>27643</v>
      </c>
      <c r="B633" t="s">
        <v>25</v>
      </c>
      <c r="C633" t="str">
        <f t="shared" si="45"/>
        <v>Single</v>
      </c>
      <c r="D633" t="s">
        <v>13</v>
      </c>
      <c r="E633" t="str">
        <f t="shared" si="46"/>
        <v>Male</v>
      </c>
      <c r="F633" s="3">
        <v>70000</v>
      </c>
      <c r="G633" s="3" t="str">
        <f t="shared" si="47"/>
        <v>Middle Class</v>
      </c>
      <c r="H633">
        <v>5</v>
      </c>
      <c r="I633" t="s">
        <v>21</v>
      </c>
      <c r="J633" t="s">
        <v>23</v>
      </c>
      <c r="K633" t="s">
        <v>17</v>
      </c>
      <c r="L633" t="str">
        <f t="shared" si="48"/>
        <v>Home Owner</v>
      </c>
      <c r="M633">
        <v>3</v>
      </c>
      <c r="N633" t="s">
        <v>24</v>
      </c>
      <c r="O633" t="s">
        <v>35</v>
      </c>
      <c r="P633">
        <v>44</v>
      </c>
      <c r="Q633" t="str">
        <f t="shared" si="49"/>
        <v>35 to 44 yrs</v>
      </c>
      <c r="R633" t="s">
        <v>20</v>
      </c>
    </row>
    <row r="634" spans="1:18">
      <c r="A634">
        <v>13754</v>
      </c>
      <c r="B634" t="s">
        <v>25</v>
      </c>
      <c r="C634" t="str">
        <f t="shared" si="45"/>
        <v>Single</v>
      </c>
      <c r="D634" t="s">
        <v>14</v>
      </c>
      <c r="E634" t="str">
        <f t="shared" si="46"/>
        <v>Female</v>
      </c>
      <c r="F634" s="3">
        <v>80000</v>
      </c>
      <c r="G634" s="3" t="str">
        <f t="shared" si="47"/>
        <v>Middle Class</v>
      </c>
      <c r="H634">
        <v>4</v>
      </c>
      <c r="I634" t="s">
        <v>34</v>
      </c>
      <c r="J634" t="s">
        <v>16</v>
      </c>
      <c r="K634" t="s">
        <v>17</v>
      </c>
      <c r="L634" t="str">
        <f t="shared" si="48"/>
        <v>Home Owner</v>
      </c>
      <c r="M634">
        <v>0</v>
      </c>
      <c r="N634" t="s">
        <v>29</v>
      </c>
      <c r="O634" t="s">
        <v>35</v>
      </c>
      <c r="P634">
        <v>48</v>
      </c>
      <c r="Q634" t="str">
        <f t="shared" si="49"/>
        <v>45 to 54 yrs</v>
      </c>
      <c r="R634" t="s">
        <v>20</v>
      </c>
    </row>
    <row r="635" spans="1:18">
      <c r="A635">
        <v>22088</v>
      </c>
      <c r="B635" t="s">
        <v>13</v>
      </c>
      <c r="C635" t="str">
        <f t="shared" si="45"/>
        <v>Married</v>
      </c>
      <c r="D635" t="s">
        <v>14</v>
      </c>
      <c r="E635" t="str">
        <f t="shared" si="46"/>
        <v>Female</v>
      </c>
      <c r="F635" s="3">
        <v>130000</v>
      </c>
      <c r="G635" s="3" t="str">
        <f t="shared" si="47"/>
        <v>Upper Middle Class</v>
      </c>
      <c r="H635">
        <v>1</v>
      </c>
      <c r="I635" t="s">
        <v>15</v>
      </c>
      <c r="J635" t="s">
        <v>31</v>
      </c>
      <c r="K635" t="s">
        <v>17</v>
      </c>
      <c r="L635" t="str">
        <f t="shared" si="48"/>
        <v>Home Owner</v>
      </c>
      <c r="M635">
        <v>2</v>
      </c>
      <c r="N635" t="s">
        <v>18</v>
      </c>
      <c r="O635" t="s">
        <v>35</v>
      </c>
      <c r="P635">
        <v>45</v>
      </c>
      <c r="Q635" t="str">
        <f t="shared" si="49"/>
        <v>45 to 54 yrs</v>
      </c>
      <c r="R635" t="s">
        <v>17</v>
      </c>
    </row>
    <row r="636" spans="1:18">
      <c r="A636">
        <v>27388</v>
      </c>
      <c r="B636" t="s">
        <v>13</v>
      </c>
      <c r="C636" t="str">
        <f t="shared" si="45"/>
        <v>Married</v>
      </c>
      <c r="D636" t="s">
        <v>13</v>
      </c>
      <c r="E636" t="str">
        <f t="shared" si="46"/>
        <v>Male</v>
      </c>
      <c r="F636" s="3">
        <v>60000</v>
      </c>
      <c r="G636" s="3" t="str">
        <f t="shared" si="47"/>
        <v>Middle Class</v>
      </c>
      <c r="H636">
        <v>3</v>
      </c>
      <c r="I636" t="s">
        <v>15</v>
      </c>
      <c r="J636" t="s">
        <v>31</v>
      </c>
      <c r="K636" t="s">
        <v>20</v>
      </c>
      <c r="L636" t="str">
        <f t="shared" si="48"/>
        <v>Tenant</v>
      </c>
      <c r="M636">
        <v>2</v>
      </c>
      <c r="N636" t="s">
        <v>29</v>
      </c>
      <c r="O636" t="s">
        <v>35</v>
      </c>
      <c r="P636">
        <v>66</v>
      </c>
      <c r="Q636" t="str">
        <f t="shared" si="49"/>
        <v>65 yrs &amp; Above</v>
      </c>
      <c r="R636" t="s">
        <v>20</v>
      </c>
    </row>
    <row r="637" spans="1:18">
      <c r="A637">
        <v>24745</v>
      </c>
      <c r="B637" t="s">
        <v>25</v>
      </c>
      <c r="C637" t="str">
        <f t="shared" si="45"/>
        <v>Single</v>
      </c>
      <c r="D637" t="s">
        <v>14</v>
      </c>
      <c r="E637" t="str">
        <f t="shared" si="46"/>
        <v>Female</v>
      </c>
      <c r="F637" s="3">
        <v>30000</v>
      </c>
      <c r="G637" s="3" t="str">
        <f t="shared" si="47"/>
        <v>Lower Class</v>
      </c>
      <c r="H637">
        <v>2</v>
      </c>
      <c r="I637" t="s">
        <v>30</v>
      </c>
      <c r="J637" t="s">
        <v>16</v>
      </c>
      <c r="K637" t="s">
        <v>20</v>
      </c>
      <c r="L637" t="str">
        <f t="shared" si="48"/>
        <v>Tenant</v>
      </c>
      <c r="M637">
        <v>2</v>
      </c>
      <c r="N637" t="s">
        <v>18</v>
      </c>
      <c r="O637" t="s">
        <v>35</v>
      </c>
      <c r="P637">
        <v>49</v>
      </c>
      <c r="Q637" t="str">
        <f t="shared" si="49"/>
        <v>45 to 54 yrs</v>
      </c>
      <c r="R637" t="s">
        <v>20</v>
      </c>
    </row>
    <row r="638" spans="1:18">
      <c r="A638">
        <v>29237</v>
      </c>
      <c r="B638" t="s">
        <v>25</v>
      </c>
      <c r="C638" t="str">
        <f t="shared" si="45"/>
        <v>Single</v>
      </c>
      <c r="D638" t="s">
        <v>14</v>
      </c>
      <c r="E638" t="str">
        <f t="shared" si="46"/>
        <v>Female</v>
      </c>
      <c r="F638" s="3">
        <v>120000</v>
      </c>
      <c r="G638" s="3" t="str">
        <f t="shared" si="47"/>
        <v>Upper Middle Class</v>
      </c>
      <c r="H638">
        <v>4</v>
      </c>
      <c r="I638" t="s">
        <v>21</v>
      </c>
      <c r="J638" t="s">
        <v>23</v>
      </c>
      <c r="K638" t="s">
        <v>17</v>
      </c>
      <c r="L638" t="str">
        <f t="shared" si="48"/>
        <v>Home Owner</v>
      </c>
      <c r="M638">
        <v>3</v>
      </c>
      <c r="N638" t="s">
        <v>26</v>
      </c>
      <c r="O638" t="s">
        <v>35</v>
      </c>
      <c r="P638">
        <v>43</v>
      </c>
      <c r="Q638" t="str">
        <f t="shared" si="49"/>
        <v>35 to 44 yrs</v>
      </c>
      <c r="R638" t="s">
        <v>17</v>
      </c>
    </row>
    <row r="639" spans="1:18">
      <c r="A639">
        <v>15272</v>
      </c>
      <c r="B639" t="s">
        <v>25</v>
      </c>
      <c r="C639" t="str">
        <f t="shared" si="45"/>
        <v>Single</v>
      </c>
      <c r="D639" t="s">
        <v>13</v>
      </c>
      <c r="E639" t="str">
        <f t="shared" si="46"/>
        <v>Male</v>
      </c>
      <c r="F639" s="3">
        <v>40000</v>
      </c>
      <c r="G639" s="3" t="str">
        <f t="shared" si="47"/>
        <v>Lower Class</v>
      </c>
      <c r="H639">
        <v>0</v>
      </c>
      <c r="I639" t="s">
        <v>30</v>
      </c>
      <c r="J639" t="s">
        <v>16</v>
      </c>
      <c r="K639" t="s">
        <v>20</v>
      </c>
      <c r="L639" t="str">
        <f t="shared" si="48"/>
        <v>Tenant</v>
      </c>
      <c r="M639">
        <v>2</v>
      </c>
      <c r="N639" t="s">
        <v>29</v>
      </c>
      <c r="O639" t="s">
        <v>35</v>
      </c>
      <c r="P639">
        <v>30</v>
      </c>
      <c r="Q639" t="str">
        <f t="shared" si="49"/>
        <v>25 to 34 yrs</v>
      </c>
      <c r="R639" t="s">
        <v>20</v>
      </c>
    </row>
    <row r="640" spans="1:18">
      <c r="A640">
        <v>18949</v>
      </c>
      <c r="B640" t="s">
        <v>25</v>
      </c>
      <c r="C640" t="str">
        <f t="shared" si="45"/>
        <v>Single</v>
      </c>
      <c r="D640" t="s">
        <v>13</v>
      </c>
      <c r="E640" t="str">
        <f t="shared" si="46"/>
        <v>Male</v>
      </c>
      <c r="F640" s="3">
        <v>70000</v>
      </c>
      <c r="G640" s="3" t="str">
        <f t="shared" si="47"/>
        <v>Middle Class</v>
      </c>
      <c r="H640">
        <v>0</v>
      </c>
      <c r="I640" t="s">
        <v>34</v>
      </c>
      <c r="J640" t="s">
        <v>31</v>
      </c>
      <c r="K640" t="s">
        <v>17</v>
      </c>
      <c r="L640" t="str">
        <f t="shared" si="48"/>
        <v>Home Owner</v>
      </c>
      <c r="M640">
        <v>2</v>
      </c>
      <c r="N640" t="s">
        <v>26</v>
      </c>
      <c r="O640" t="s">
        <v>35</v>
      </c>
      <c r="P640">
        <v>74</v>
      </c>
      <c r="Q640" t="str">
        <f t="shared" si="49"/>
        <v>65 yrs &amp; Above</v>
      </c>
      <c r="R640" t="s">
        <v>17</v>
      </c>
    </row>
    <row r="641" spans="1:18">
      <c r="A641">
        <v>14507</v>
      </c>
      <c r="B641" t="s">
        <v>13</v>
      </c>
      <c r="C641" t="str">
        <f t="shared" si="45"/>
        <v>Married</v>
      </c>
      <c r="D641" t="s">
        <v>13</v>
      </c>
      <c r="E641" t="str">
        <f t="shared" si="46"/>
        <v>Male</v>
      </c>
      <c r="F641" s="3">
        <v>100000</v>
      </c>
      <c r="G641" s="3" t="str">
        <f t="shared" si="47"/>
        <v>Middle Class</v>
      </c>
      <c r="H641">
        <v>2</v>
      </c>
      <c r="I641" t="s">
        <v>34</v>
      </c>
      <c r="J641" t="s">
        <v>31</v>
      </c>
      <c r="K641" t="s">
        <v>17</v>
      </c>
      <c r="L641" t="str">
        <f t="shared" si="48"/>
        <v>Home Owner</v>
      </c>
      <c r="M641">
        <v>3</v>
      </c>
      <c r="N641" t="s">
        <v>29</v>
      </c>
      <c r="O641" t="s">
        <v>35</v>
      </c>
      <c r="P641">
        <v>65</v>
      </c>
      <c r="Q641" t="str">
        <f t="shared" si="49"/>
        <v>65 yrs &amp; Above</v>
      </c>
      <c r="R641" t="s">
        <v>20</v>
      </c>
    </row>
    <row r="642" spans="1:18">
      <c r="A642">
        <v>25886</v>
      </c>
      <c r="B642" t="s">
        <v>13</v>
      </c>
      <c r="C642" t="str">
        <f t="shared" si="45"/>
        <v>Married</v>
      </c>
      <c r="D642" t="s">
        <v>14</v>
      </c>
      <c r="E642" t="str">
        <f t="shared" si="46"/>
        <v>Female</v>
      </c>
      <c r="F642" s="3">
        <v>60000</v>
      </c>
      <c r="G642" s="3" t="str">
        <f t="shared" si="47"/>
        <v>Middle Class</v>
      </c>
      <c r="H642">
        <v>2</v>
      </c>
      <c r="I642" t="s">
        <v>21</v>
      </c>
      <c r="J642" t="s">
        <v>23</v>
      </c>
      <c r="K642" t="s">
        <v>17</v>
      </c>
      <c r="L642" t="str">
        <f t="shared" si="48"/>
        <v>Home Owner</v>
      </c>
      <c r="M642">
        <v>2</v>
      </c>
      <c r="N642" t="s">
        <v>24</v>
      </c>
      <c r="O642" t="s">
        <v>35</v>
      </c>
      <c r="P642">
        <v>56</v>
      </c>
      <c r="Q642" t="str">
        <f t="shared" si="49"/>
        <v>55 to 64 yrs</v>
      </c>
      <c r="R642" t="s">
        <v>17</v>
      </c>
    </row>
    <row r="643" spans="1:18">
      <c r="A643">
        <v>21441</v>
      </c>
      <c r="B643" t="s">
        <v>13</v>
      </c>
      <c r="C643" t="str">
        <f t="shared" ref="C643:C706" si="50">IF($B$2:$B$1001="M", "Married","Single")</f>
        <v>Married</v>
      </c>
      <c r="D643" t="s">
        <v>13</v>
      </c>
      <c r="E643" t="str">
        <f t="shared" ref="E643:E706" si="51">IF($D$2:$D$1001="F", "Female", "Male")</f>
        <v>Male</v>
      </c>
      <c r="F643" s="3">
        <v>50000</v>
      </c>
      <c r="G643" s="3" t="str">
        <f t="shared" ref="G643:G706" si="52">_xlfn.IFS(F643&lt;=57375,"Lower Class",F643&lt;=114750,"Middle Class",F643&lt;=253414,"Upper Middle Class",TRUE,"Upper Class")</f>
        <v>Lower Class</v>
      </c>
      <c r="H643">
        <v>4</v>
      </c>
      <c r="I643" t="s">
        <v>15</v>
      </c>
      <c r="J643" t="s">
        <v>31</v>
      </c>
      <c r="K643" t="s">
        <v>17</v>
      </c>
      <c r="L643" t="str">
        <f t="shared" ref="L643:L706" si="53">IF($K$2:$K$1001="Yes", "Home Owner","Tenant")</f>
        <v>Home Owner</v>
      </c>
      <c r="M643">
        <v>2</v>
      </c>
      <c r="N643" t="s">
        <v>33</v>
      </c>
      <c r="O643" t="s">
        <v>35</v>
      </c>
      <c r="P643">
        <v>64</v>
      </c>
      <c r="Q643" t="str">
        <f t="shared" ref="Q643:Q706" si="54">_xlfn.IFS(P643&lt;25,"Less than 25 yrs",P643&lt;35,"25 to 34 yrs",P643&lt;45,"35 to 44 yrs",P643&lt;55,"45 to 54 yrs",P643&lt;65,"55 to 64 yrs", TRUE, "65 yrs &amp; Above")</f>
        <v>55 to 64 yrs</v>
      </c>
      <c r="R643" t="s">
        <v>20</v>
      </c>
    </row>
    <row r="644" spans="1:18">
      <c r="A644">
        <v>21741</v>
      </c>
      <c r="B644" t="s">
        <v>13</v>
      </c>
      <c r="C644" t="str">
        <f t="shared" si="50"/>
        <v>Married</v>
      </c>
      <c r="D644" t="s">
        <v>14</v>
      </c>
      <c r="E644" t="str">
        <f t="shared" si="51"/>
        <v>Female</v>
      </c>
      <c r="F644" s="3">
        <v>70000</v>
      </c>
      <c r="G644" s="3" t="str">
        <f t="shared" si="52"/>
        <v>Middle Class</v>
      </c>
      <c r="H644">
        <v>3</v>
      </c>
      <c r="I644" t="s">
        <v>21</v>
      </c>
      <c r="J644" t="s">
        <v>23</v>
      </c>
      <c r="K644" t="s">
        <v>17</v>
      </c>
      <c r="L644" t="str">
        <f t="shared" si="53"/>
        <v>Home Owner</v>
      </c>
      <c r="M644">
        <v>2</v>
      </c>
      <c r="N644" t="s">
        <v>26</v>
      </c>
      <c r="O644" t="s">
        <v>35</v>
      </c>
      <c r="P644">
        <v>50</v>
      </c>
      <c r="Q644" t="str">
        <f t="shared" si="54"/>
        <v>45 to 54 yrs</v>
      </c>
      <c r="R644" t="s">
        <v>17</v>
      </c>
    </row>
    <row r="645" spans="1:18">
      <c r="A645">
        <v>14572</v>
      </c>
      <c r="B645" t="s">
        <v>13</v>
      </c>
      <c r="C645" t="str">
        <f t="shared" si="50"/>
        <v>Married</v>
      </c>
      <c r="D645" t="s">
        <v>14</v>
      </c>
      <c r="E645" t="str">
        <f t="shared" si="51"/>
        <v>Female</v>
      </c>
      <c r="F645" s="3">
        <v>70000</v>
      </c>
      <c r="G645" s="3" t="str">
        <f t="shared" si="52"/>
        <v>Middle Class</v>
      </c>
      <c r="H645">
        <v>3</v>
      </c>
      <c r="I645" t="s">
        <v>34</v>
      </c>
      <c r="J645" t="s">
        <v>23</v>
      </c>
      <c r="K645" t="s">
        <v>17</v>
      </c>
      <c r="L645" t="str">
        <f t="shared" si="53"/>
        <v>Home Owner</v>
      </c>
      <c r="M645">
        <v>0</v>
      </c>
      <c r="N645" t="s">
        <v>24</v>
      </c>
      <c r="O645" t="s">
        <v>35</v>
      </c>
      <c r="P645">
        <v>35</v>
      </c>
      <c r="Q645" t="str">
        <f t="shared" si="54"/>
        <v>35 to 44 yrs</v>
      </c>
      <c r="R645" t="s">
        <v>17</v>
      </c>
    </row>
    <row r="646" spans="1:18">
      <c r="A646">
        <v>23368</v>
      </c>
      <c r="B646" t="s">
        <v>13</v>
      </c>
      <c r="C646" t="str">
        <f t="shared" si="50"/>
        <v>Married</v>
      </c>
      <c r="D646" t="s">
        <v>14</v>
      </c>
      <c r="E646" t="str">
        <f t="shared" si="51"/>
        <v>Female</v>
      </c>
      <c r="F646" s="3">
        <v>60000</v>
      </c>
      <c r="G646" s="3" t="str">
        <f t="shared" si="52"/>
        <v>Middle Class</v>
      </c>
      <c r="H646">
        <v>5</v>
      </c>
      <c r="I646" t="s">
        <v>15</v>
      </c>
      <c r="J646" t="s">
        <v>16</v>
      </c>
      <c r="K646" t="s">
        <v>17</v>
      </c>
      <c r="L646" t="str">
        <f t="shared" si="53"/>
        <v>Home Owner</v>
      </c>
      <c r="M646">
        <v>3</v>
      </c>
      <c r="N646" t="s">
        <v>33</v>
      </c>
      <c r="O646" t="s">
        <v>35</v>
      </c>
      <c r="P646">
        <v>41</v>
      </c>
      <c r="Q646" t="str">
        <f t="shared" si="54"/>
        <v>35 to 44 yrs</v>
      </c>
      <c r="R646" t="s">
        <v>20</v>
      </c>
    </row>
    <row r="647" spans="1:18">
      <c r="A647">
        <v>16217</v>
      </c>
      <c r="B647" t="s">
        <v>25</v>
      </c>
      <c r="C647" t="str">
        <f t="shared" si="50"/>
        <v>Single</v>
      </c>
      <c r="D647" t="s">
        <v>14</v>
      </c>
      <c r="E647" t="str">
        <f t="shared" si="51"/>
        <v>Female</v>
      </c>
      <c r="F647" s="3">
        <v>60000</v>
      </c>
      <c r="G647" s="3" t="str">
        <f t="shared" si="52"/>
        <v>Middle Class</v>
      </c>
      <c r="H647">
        <v>0</v>
      </c>
      <c r="I647" t="s">
        <v>34</v>
      </c>
      <c r="J647" t="s">
        <v>16</v>
      </c>
      <c r="K647" t="s">
        <v>17</v>
      </c>
      <c r="L647" t="str">
        <f t="shared" si="53"/>
        <v>Home Owner</v>
      </c>
      <c r="M647">
        <v>0</v>
      </c>
      <c r="N647" t="s">
        <v>18</v>
      </c>
      <c r="O647" t="s">
        <v>35</v>
      </c>
      <c r="P647">
        <v>39</v>
      </c>
      <c r="Q647" t="str">
        <f t="shared" si="54"/>
        <v>35 to 44 yrs</v>
      </c>
      <c r="R647" t="s">
        <v>20</v>
      </c>
    </row>
    <row r="648" spans="1:18">
      <c r="A648">
        <v>16247</v>
      </c>
      <c r="B648" t="s">
        <v>25</v>
      </c>
      <c r="C648" t="str">
        <f t="shared" si="50"/>
        <v>Single</v>
      </c>
      <c r="D648" t="s">
        <v>14</v>
      </c>
      <c r="E648" t="str">
        <f t="shared" si="51"/>
        <v>Female</v>
      </c>
      <c r="F648" s="3">
        <v>60000</v>
      </c>
      <c r="G648" s="3" t="str">
        <f t="shared" si="52"/>
        <v>Middle Class</v>
      </c>
      <c r="H648">
        <v>4</v>
      </c>
      <c r="I648" t="s">
        <v>34</v>
      </c>
      <c r="J648" t="s">
        <v>16</v>
      </c>
      <c r="K648" t="s">
        <v>20</v>
      </c>
      <c r="L648" t="str">
        <f t="shared" si="53"/>
        <v>Tenant</v>
      </c>
      <c r="M648">
        <v>0</v>
      </c>
      <c r="N648" t="s">
        <v>29</v>
      </c>
      <c r="O648" t="s">
        <v>35</v>
      </c>
      <c r="P648">
        <v>47</v>
      </c>
      <c r="Q648" t="str">
        <f t="shared" si="54"/>
        <v>45 to 54 yrs</v>
      </c>
      <c r="R648" t="s">
        <v>20</v>
      </c>
    </row>
    <row r="649" spans="1:18">
      <c r="A649">
        <v>22010</v>
      </c>
      <c r="B649" t="s">
        <v>25</v>
      </c>
      <c r="C649" t="str">
        <f t="shared" si="50"/>
        <v>Single</v>
      </c>
      <c r="D649" t="s">
        <v>13</v>
      </c>
      <c r="E649" t="str">
        <f t="shared" si="51"/>
        <v>Male</v>
      </c>
      <c r="F649" s="3">
        <v>40000</v>
      </c>
      <c r="G649" s="3" t="str">
        <f t="shared" si="52"/>
        <v>Lower Class</v>
      </c>
      <c r="H649">
        <v>0</v>
      </c>
      <c r="I649" t="s">
        <v>30</v>
      </c>
      <c r="J649" t="s">
        <v>16</v>
      </c>
      <c r="K649" t="s">
        <v>17</v>
      </c>
      <c r="L649" t="str">
        <f t="shared" si="53"/>
        <v>Home Owner</v>
      </c>
      <c r="M649">
        <v>2</v>
      </c>
      <c r="N649" t="s">
        <v>26</v>
      </c>
      <c r="O649" t="s">
        <v>35</v>
      </c>
      <c r="P649">
        <v>31</v>
      </c>
      <c r="Q649" t="str">
        <f t="shared" si="54"/>
        <v>25 to 34 yrs</v>
      </c>
      <c r="R649" t="s">
        <v>20</v>
      </c>
    </row>
    <row r="650" spans="1:18">
      <c r="A650">
        <v>25872</v>
      </c>
      <c r="B650" t="s">
        <v>25</v>
      </c>
      <c r="C650" t="str">
        <f t="shared" si="50"/>
        <v>Single</v>
      </c>
      <c r="D650" t="s">
        <v>14</v>
      </c>
      <c r="E650" t="str">
        <f t="shared" si="51"/>
        <v>Female</v>
      </c>
      <c r="F650" s="3">
        <v>70000</v>
      </c>
      <c r="G650" s="3" t="str">
        <f t="shared" si="52"/>
        <v>Middle Class</v>
      </c>
      <c r="H650">
        <v>2</v>
      </c>
      <c r="I650" t="s">
        <v>15</v>
      </c>
      <c r="J650" t="s">
        <v>31</v>
      </c>
      <c r="K650" t="s">
        <v>20</v>
      </c>
      <c r="L650" t="str">
        <f t="shared" si="53"/>
        <v>Tenant</v>
      </c>
      <c r="M650">
        <v>1</v>
      </c>
      <c r="N650" t="s">
        <v>24</v>
      </c>
      <c r="O650" t="s">
        <v>35</v>
      </c>
      <c r="P650">
        <v>58</v>
      </c>
      <c r="Q650" t="str">
        <f t="shared" si="54"/>
        <v>55 to 64 yrs</v>
      </c>
      <c r="R650" t="s">
        <v>17</v>
      </c>
    </row>
    <row r="651" spans="1:18">
      <c r="A651">
        <v>19164</v>
      </c>
      <c r="B651" t="s">
        <v>25</v>
      </c>
      <c r="C651" t="str">
        <f t="shared" si="50"/>
        <v>Single</v>
      </c>
      <c r="D651" t="s">
        <v>14</v>
      </c>
      <c r="E651" t="str">
        <f t="shared" si="51"/>
        <v>Female</v>
      </c>
      <c r="F651" s="3">
        <v>70000</v>
      </c>
      <c r="G651" s="3" t="str">
        <f t="shared" si="52"/>
        <v>Middle Class</v>
      </c>
      <c r="H651">
        <v>0</v>
      </c>
      <c r="I651" t="s">
        <v>15</v>
      </c>
      <c r="J651" t="s">
        <v>23</v>
      </c>
      <c r="K651" t="s">
        <v>20</v>
      </c>
      <c r="L651" t="str">
        <f t="shared" si="53"/>
        <v>Tenant</v>
      </c>
      <c r="M651">
        <v>1</v>
      </c>
      <c r="N651" t="s">
        <v>24</v>
      </c>
      <c r="O651" t="s">
        <v>35</v>
      </c>
      <c r="P651">
        <v>38</v>
      </c>
      <c r="Q651" t="str">
        <f t="shared" si="54"/>
        <v>35 to 44 yrs</v>
      </c>
      <c r="R651" t="s">
        <v>17</v>
      </c>
    </row>
    <row r="652" spans="1:18">
      <c r="A652">
        <v>18435</v>
      </c>
      <c r="B652" t="s">
        <v>25</v>
      </c>
      <c r="C652" t="str">
        <f t="shared" si="50"/>
        <v>Single</v>
      </c>
      <c r="D652" t="s">
        <v>14</v>
      </c>
      <c r="E652" t="str">
        <f t="shared" si="51"/>
        <v>Female</v>
      </c>
      <c r="F652" s="3">
        <v>70000</v>
      </c>
      <c r="G652" s="3" t="str">
        <f t="shared" si="52"/>
        <v>Middle Class</v>
      </c>
      <c r="H652">
        <v>5</v>
      </c>
      <c r="I652" t="s">
        <v>34</v>
      </c>
      <c r="J652" t="s">
        <v>31</v>
      </c>
      <c r="K652" t="s">
        <v>17</v>
      </c>
      <c r="L652" t="str">
        <f t="shared" si="53"/>
        <v>Home Owner</v>
      </c>
      <c r="M652">
        <v>2</v>
      </c>
      <c r="N652" t="s">
        <v>33</v>
      </c>
      <c r="O652" t="s">
        <v>35</v>
      </c>
      <c r="P652">
        <v>67</v>
      </c>
      <c r="Q652" t="str">
        <f t="shared" si="54"/>
        <v>65 yrs &amp; Above</v>
      </c>
      <c r="R652" t="s">
        <v>17</v>
      </c>
    </row>
    <row r="653" spans="1:18">
      <c r="A653">
        <v>14284</v>
      </c>
      <c r="B653" t="s">
        <v>25</v>
      </c>
      <c r="C653" t="str">
        <f t="shared" si="50"/>
        <v>Single</v>
      </c>
      <c r="D653" t="s">
        <v>13</v>
      </c>
      <c r="E653" t="str">
        <f t="shared" si="51"/>
        <v>Male</v>
      </c>
      <c r="F653" s="3">
        <v>60000</v>
      </c>
      <c r="G653" s="3" t="str">
        <f t="shared" si="52"/>
        <v>Middle Class</v>
      </c>
      <c r="H653">
        <v>0</v>
      </c>
      <c r="I653" t="s">
        <v>21</v>
      </c>
      <c r="J653" t="s">
        <v>23</v>
      </c>
      <c r="K653" t="s">
        <v>20</v>
      </c>
      <c r="L653" t="str">
        <f t="shared" si="53"/>
        <v>Tenant</v>
      </c>
      <c r="M653">
        <v>2</v>
      </c>
      <c r="N653" t="s">
        <v>29</v>
      </c>
      <c r="O653" t="s">
        <v>35</v>
      </c>
      <c r="P653">
        <v>32</v>
      </c>
      <c r="Q653" t="str">
        <f t="shared" si="54"/>
        <v>25 to 34 yrs</v>
      </c>
      <c r="R653" t="s">
        <v>17</v>
      </c>
    </row>
    <row r="654" spans="1:18">
      <c r="A654">
        <v>11287</v>
      </c>
      <c r="B654" t="s">
        <v>13</v>
      </c>
      <c r="C654" t="str">
        <f t="shared" si="50"/>
        <v>Married</v>
      </c>
      <c r="D654" t="s">
        <v>13</v>
      </c>
      <c r="E654" t="str">
        <f t="shared" si="51"/>
        <v>Male</v>
      </c>
      <c r="F654" s="3">
        <v>70000</v>
      </c>
      <c r="G654" s="3" t="str">
        <f t="shared" si="52"/>
        <v>Middle Class</v>
      </c>
      <c r="H654">
        <v>5</v>
      </c>
      <c r="I654" t="s">
        <v>21</v>
      </c>
      <c r="J654" t="s">
        <v>23</v>
      </c>
      <c r="K654" t="s">
        <v>20</v>
      </c>
      <c r="L654" t="str">
        <f t="shared" si="53"/>
        <v>Tenant</v>
      </c>
      <c r="M654">
        <v>3</v>
      </c>
      <c r="N654" t="s">
        <v>26</v>
      </c>
      <c r="O654" t="s">
        <v>35</v>
      </c>
      <c r="P654">
        <v>45</v>
      </c>
      <c r="Q654" t="str">
        <f t="shared" si="54"/>
        <v>45 to 54 yrs</v>
      </c>
      <c r="R654" t="s">
        <v>20</v>
      </c>
    </row>
    <row r="655" spans="1:18">
      <c r="A655">
        <v>13066</v>
      </c>
      <c r="B655" t="s">
        <v>25</v>
      </c>
      <c r="C655" t="str">
        <f t="shared" si="50"/>
        <v>Single</v>
      </c>
      <c r="D655" t="s">
        <v>13</v>
      </c>
      <c r="E655" t="str">
        <f t="shared" si="51"/>
        <v>Male</v>
      </c>
      <c r="F655" s="3">
        <v>30000</v>
      </c>
      <c r="G655" s="3" t="str">
        <f t="shared" si="52"/>
        <v>Lower Class</v>
      </c>
      <c r="H655">
        <v>0</v>
      </c>
      <c r="I655" t="s">
        <v>30</v>
      </c>
      <c r="J655" t="s">
        <v>16</v>
      </c>
      <c r="K655" t="s">
        <v>20</v>
      </c>
      <c r="L655" t="str">
        <f t="shared" si="53"/>
        <v>Tenant</v>
      </c>
      <c r="M655">
        <v>2</v>
      </c>
      <c r="N655" t="s">
        <v>29</v>
      </c>
      <c r="O655" t="s">
        <v>35</v>
      </c>
      <c r="P655">
        <v>31</v>
      </c>
      <c r="Q655" t="str">
        <f t="shared" si="54"/>
        <v>25 to 34 yrs</v>
      </c>
      <c r="R655" t="s">
        <v>17</v>
      </c>
    </row>
    <row r="656" spans="1:18">
      <c r="A656">
        <v>29106</v>
      </c>
      <c r="B656" t="s">
        <v>25</v>
      </c>
      <c r="C656" t="str">
        <f t="shared" si="50"/>
        <v>Single</v>
      </c>
      <c r="D656" t="s">
        <v>13</v>
      </c>
      <c r="E656" t="str">
        <f t="shared" si="51"/>
        <v>Male</v>
      </c>
      <c r="F656" s="3">
        <v>40000</v>
      </c>
      <c r="G656" s="3" t="str">
        <f t="shared" si="52"/>
        <v>Lower Class</v>
      </c>
      <c r="H656">
        <v>0</v>
      </c>
      <c r="I656" t="s">
        <v>30</v>
      </c>
      <c r="J656" t="s">
        <v>16</v>
      </c>
      <c r="K656" t="s">
        <v>20</v>
      </c>
      <c r="L656" t="str">
        <f t="shared" si="53"/>
        <v>Tenant</v>
      </c>
      <c r="M656">
        <v>2</v>
      </c>
      <c r="N656" t="s">
        <v>29</v>
      </c>
      <c r="O656" t="s">
        <v>35</v>
      </c>
      <c r="P656">
        <v>31</v>
      </c>
      <c r="Q656" t="str">
        <f t="shared" si="54"/>
        <v>25 to 34 yrs</v>
      </c>
      <c r="R656" t="s">
        <v>17</v>
      </c>
    </row>
    <row r="657" spans="1:18">
      <c r="A657">
        <v>26236</v>
      </c>
      <c r="B657" t="s">
        <v>13</v>
      </c>
      <c r="C657" t="str">
        <f t="shared" si="50"/>
        <v>Married</v>
      </c>
      <c r="D657" t="s">
        <v>14</v>
      </c>
      <c r="E657" t="str">
        <f t="shared" si="51"/>
        <v>Female</v>
      </c>
      <c r="F657" s="3">
        <v>40000</v>
      </c>
      <c r="G657" s="3" t="str">
        <f t="shared" si="52"/>
        <v>Lower Class</v>
      </c>
      <c r="H657">
        <v>3</v>
      </c>
      <c r="I657" t="s">
        <v>21</v>
      </c>
      <c r="J657" t="s">
        <v>22</v>
      </c>
      <c r="K657" t="s">
        <v>17</v>
      </c>
      <c r="L657" t="str">
        <f t="shared" si="53"/>
        <v>Home Owner</v>
      </c>
      <c r="M657">
        <v>1</v>
      </c>
      <c r="N657" t="s">
        <v>18</v>
      </c>
      <c r="O657" t="s">
        <v>35</v>
      </c>
      <c r="P657">
        <v>31</v>
      </c>
      <c r="Q657" t="str">
        <f t="shared" si="54"/>
        <v>25 to 34 yrs</v>
      </c>
      <c r="R657" t="s">
        <v>20</v>
      </c>
    </row>
    <row r="658" spans="1:18">
      <c r="A658">
        <v>17531</v>
      </c>
      <c r="B658" t="s">
        <v>13</v>
      </c>
      <c r="C658" t="str">
        <f t="shared" si="50"/>
        <v>Married</v>
      </c>
      <c r="D658" t="s">
        <v>13</v>
      </c>
      <c r="E658" t="str">
        <f t="shared" si="51"/>
        <v>Male</v>
      </c>
      <c r="F658" s="3">
        <v>60000</v>
      </c>
      <c r="G658" s="3" t="str">
        <f t="shared" si="52"/>
        <v>Middle Class</v>
      </c>
      <c r="H658">
        <v>2</v>
      </c>
      <c r="I658" t="s">
        <v>30</v>
      </c>
      <c r="J658" t="s">
        <v>23</v>
      </c>
      <c r="K658" t="s">
        <v>20</v>
      </c>
      <c r="L658" t="str">
        <f t="shared" si="53"/>
        <v>Tenant</v>
      </c>
      <c r="M658">
        <v>2</v>
      </c>
      <c r="N658" t="s">
        <v>26</v>
      </c>
      <c r="O658" t="s">
        <v>35</v>
      </c>
      <c r="P658">
        <v>50</v>
      </c>
      <c r="Q658" t="str">
        <f t="shared" si="54"/>
        <v>45 to 54 yrs</v>
      </c>
      <c r="R658" t="s">
        <v>20</v>
      </c>
    </row>
    <row r="659" spans="1:18">
      <c r="A659">
        <v>12964</v>
      </c>
      <c r="B659" t="s">
        <v>13</v>
      </c>
      <c r="C659" t="str">
        <f t="shared" si="50"/>
        <v>Married</v>
      </c>
      <c r="D659" t="s">
        <v>13</v>
      </c>
      <c r="E659" t="str">
        <f t="shared" si="51"/>
        <v>Male</v>
      </c>
      <c r="F659" s="3">
        <v>70000</v>
      </c>
      <c r="G659" s="3" t="str">
        <f t="shared" si="52"/>
        <v>Middle Class</v>
      </c>
      <c r="H659">
        <v>1</v>
      </c>
      <c r="I659" t="s">
        <v>21</v>
      </c>
      <c r="J659" t="s">
        <v>16</v>
      </c>
      <c r="K659" t="s">
        <v>17</v>
      </c>
      <c r="L659" t="str">
        <f t="shared" si="53"/>
        <v>Home Owner</v>
      </c>
      <c r="M659">
        <v>1</v>
      </c>
      <c r="N659" t="s">
        <v>18</v>
      </c>
      <c r="O659" t="s">
        <v>35</v>
      </c>
      <c r="P659">
        <v>44</v>
      </c>
      <c r="Q659" t="str">
        <f t="shared" si="54"/>
        <v>35 to 44 yrs</v>
      </c>
      <c r="R659" t="s">
        <v>20</v>
      </c>
    </row>
    <row r="660" spans="1:18">
      <c r="A660">
        <v>19133</v>
      </c>
      <c r="B660" t="s">
        <v>25</v>
      </c>
      <c r="C660" t="str">
        <f t="shared" si="50"/>
        <v>Single</v>
      </c>
      <c r="D660" t="s">
        <v>13</v>
      </c>
      <c r="E660" t="str">
        <f t="shared" si="51"/>
        <v>Male</v>
      </c>
      <c r="F660" s="3">
        <v>50000</v>
      </c>
      <c r="G660" s="3" t="str">
        <f t="shared" si="52"/>
        <v>Lower Class</v>
      </c>
      <c r="H660">
        <v>2</v>
      </c>
      <c r="I660" t="s">
        <v>15</v>
      </c>
      <c r="J660" t="s">
        <v>16</v>
      </c>
      <c r="K660" t="s">
        <v>17</v>
      </c>
      <c r="L660" t="str">
        <f t="shared" si="53"/>
        <v>Home Owner</v>
      </c>
      <c r="M660">
        <v>1</v>
      </c>
      <c r="N660" t="s">
        <v>24</v>
      </c>
      <c r="O660" t="s">
        <v>35</v>
      </c>
      <c r="P660">
        <v>38</v>
      </c>
      <c r="Q660" t="str">
        <f t="shared" si="54"/>
        <v>35 to 44 yrs</v>
      </c>
      <c r="R660" t="s">
        <v>17</v>
      </c>
    </row>
    <row r="661" spans="1:18">
      <c r="A661">
        <v>24643</v>
      </c>
      <c r="B661" t="s">
        <v>25</v>
      </c>
      <c r="C661" t="str">
        <f t="shared" si="50"/>
        <v>Single</v>
      </c>
      <c r="D661" t="s">
        <v>14</v>
      </c>
      <c r="E661" t="str">
        <f t="shared" si="51"/>
        <v>Female</v>
      </c>
      <c r="F661" s="3">
        <v>60000</v>
      </c>
      <c r="G661" s="3" t="str">
        <f t="shared" si="52"/>
        <v>Middle Class</v>
      </c>
      <c r="H661">
        <v>4</v>
      </c>
      <c r="I661" t="s">
        <v>15</v>
      </c>
      <c r="J661" t="s">
        <v>31</v>
      </c>
      <c r="K661" t="s">
        <v>17</v>
      </c>
      <c r="L661" t="str">
        <f t="shared" si="53"/>
        <v>Home Owner</v>
      </c>
      <c r="M661">
        <v>2</v>
      </c>
      <c r="N661" t="s">
        <v>33</v>
      </c>
      <c r="O661" t="s">
        <v>35</v>
      </c>
      <c r="P661">
        <v>63</v>
      </c>
      <c r="Q661" t="str">
        <f t="shared" si="54"/>
        <v>55 to 64 yrs</v>
      </c>
      <c r="R661" t="s">
        <v>20</v>
      </c>
    </row>
    <row r="662" spans="1:18">
      <c r="A662">
        <v>21599</v>
      </c>
      <c r="B662" t="s">
        <v>13</v>
      </c>
      <c r="C662" t="str">
        <f t="shared" si="50"/>
        <v>Married</v>
      </c>
      <c r="D662" t="s">
        <v>14</v>
      </c>
      <c r="E662" t="str">
        <f t="shared" si="51"/>
        <v>Female</v>
      </c>
      <c r="F662" s="3">
        <v>60000</v>
      </c>
      <c r="G662" s="3" t="str">
        <f t="shared" si="52"/>
        <v>Middle Class</v>
      </c>
      <c r="H662">
        <v>1</v>
      </c>
      <c r="I662" t="s">
        <v>34</v>
      </c>
      <c r="J662" t="s">
        <v>23</v>
      </c>
      <c r="K662" t="s">
        <v>17</v>
      </c>
      <c r="L662" t="str">
        <f t="shared" si="53"/>
        <v>Home Owner</v>
      </c>
      <c r="M662">
        <v>0</v>
      </c>
      <c r="N662" t="s">
        <v>24</v>
      </c>
      <c r="O662" t="s">
        <v>35</v>
      </c>
      <c r="P662">
        <v>36</v>
      </c>
      <c r="Q662" t="str">
        <f t="shared" si="54"/>
        <v>35 to 44 yrs</v>
      </c>
      <c r="R662" t="s">
        <v>17</v>
      </c>
    </row>
    <row r="663" spans="1:18">
      <c r="A663">
        <v>22976</v>
      </c>
      <c r="B663" t="s">
        <v>25</v>
      </c>
      <c r="C663" t="str">
        <f t="shared" si="50"/>
        <v>Single</v>
      </c>
      <c r="D663" t="s">
        <v>13</v>
      </c>
      <c r="E663" t="str">
        <f t="shared" si="51"/>
        <v>Male</v>
      </c>
      <c r="F663" s="3">
        <v>40000</v>
      </c>
      <c r="G663" s="3" t="str">
        <f t="shared" si="52"/>
        <v>Lower Class</v>
      </c>
      <c r="H663">
        <v>0</v>
      </c>
      <c r="I663" t="s">
        <v>30</v>
      </c>
      <c r="J663" t="s">
        <v>16</v>
      </c>
      <c r="K663" t="s">
        <v>20</v>
      </c>
      <c r="L663" t="str">
        <f t="shared" si="53"/>
        <v>Tenant</v>
      </c>
      <c r="M663">
        <v>2</v>
      </c>
      <c r="N663" t="s">
        <v>18</v>
      </c>
      <c r="O663" t="s">
        <v>35</v>
      </c>
      <c r="P663">
        <v>28</v>
      </c>
      <c r="Q663" t="str">
        <f t="shared" si="54"/>
        <v>25 to 34 yrs</v>
      </c>
      <c r="R663" t="s">
        <v>17</v>
      </c>
    </row>
    <row r="664" spans="1:18">
      <c r="A664">
        <v>27637</v>
      </c>
      <c r="B664" t="s">
        <v>25</v>
      </c>
      <c r="C664" t="str">
        <f t="shared" si="50"/>
        <v>Single</v>
      </c>
      <c r="D664" t="s">
        <v>14</v>
      </c>
      <c r="E664" t="str">
        <f t="shared" si="51"/>
        <v>Female</v>
      </c>
      <c r="F664" s="3">
        <v>100000</v>
      </c>
      <c r="G664" s="3" t="str">
        <f t="shared" si="52"/>
        <v>Middle Class</v>
      </c>
      <c r="H664">
        <v>1</v>
      </c>
      <c r="I664" t="s">
        <v>21</v>
      </c>
      <c r="J664" t="s">
        <v>23</v>
      </c>
      <c r="K664" t="s">
        <v>20</v>
      </c>
      <c r="L664" t="str">
        <f t="shared" si="53"/>
        <v>Tenant</v>
      </c>
      <c r="M664">
        <v>3</v>
      </c>
      <c r="N664" t="s">
        <v>29</v>
      </c>
      <c r="O664" t="s">
        <v>35</v>
      </c>
      <c r="P664">
        <v>44</v>
      </c>
      <c r="Q664" t="str">
        <f t="shared" si="54"/>
        <v>35 to 44 yrs</v>
      </c>
      <c r="R664" t="s">
        <v>20</v>
      </c>
    </row>
    <row r="665" spans="1:18">
      <c r="A665">
        <v>11890</v>
      </c>
      <c r="B665" t="s">
        <v>13</v>
      </c>
      <c r="C665" t="str">
        <f t="shared" si="50"/>
        <v>Married</v>
      </c>
      <c r="D665" t="s">
        <v>14</v>
      </c>
      <c r="E665" t="str">
        <f t="shared" si="51"/>
        <v>Female</v>
      </c>
      <c r="F665" s="3">
        <v>70000</v>
      </c>
      <c r="G665" s="3" t="str">
        <f t="shared" si="52"/>
        <v>Middle Class</v>
      </c>
      <c r="H665">
        <v>5</v>
      </c>
      <c r="I665" t="s">
        <v>34</v>
      </c>
      <c r="J665" t="s">
        <v>23</v>
      </c>
      <c r="K665" t="s">
        <v>17</v>
      </c>
      <c r="L665" t="str">
        <f t="shared" si="53"/>
        <v>Home Owner</v>
      </c>
      <c r="M665">
        <v>1</v>
      </c>
      <c r="N665" t="s">
        <v>18</v>
      </c>
      <c r="O665" t="s">
        <v>35</v>
      </c>
      <c r="P665">
        <v>47</v>
      </c>
      <c r="Q665" t="str">
        <f t="shared" si="54"/>
        <v>45 to 54 yrs</v>
      </c>
      <c r="R665" t="s">
        <v>20</v>
      </c>
    </row>
    <row r="666" spans="1:18">
      <c r="A666">
        <v>28580</v>
      </c>
      <c r="B666" t="s">
        <v>13</v>
      </c>
      <c r="C666" t="str">
        <f t="shared" si="50"/>
        <v>Married</v>
      </c>
      <c r="D666" t="s">
        <v>14</v>
      </c>
      <c r="E666" t="str">
        <f t="shared" si="51"/>
        <v>Female</v>
      </c>
      <c r="F666" s="3">
        <v>80000</v>
      </c>
      <c r="G666" s="3" t="str">
        <f t="shared" si="52"/>
        <v>Middle Class</v>
      </c>
      <c r="H666">
        <v>0</v>
      </c>
      <c r="I666" t="s">
        <v>34</v>
      </c>
      <c r="J666" t="s">
        <v>16</v>
      </c>
      <c r="K666" t="s">
        <v>17</v>
      </c>
      <c r="L666" t="str">
        <f t="shared" si="53"/>
        <v>Home Owner</v>
      </c>
      <c r="M666">
        <v>0</v>
      </c>
      <c r="N666" t="s">
        <v>29</v>
      </c>
      <c r="O666" t="s">
        <v>35</v>
      </c>
      <c r="P666">
        <v>40</v>
      </c>
      <c r="Q666" t="str">
        <f t="shared" si="54"/>
        <v>35 to 44 yrs</v>
      </c>
      <c r="R666" t="s">
        <v>17</v>
      </c>
    </row>
    <row r="667" spans="1:18">
      <c r="A667">
        <v>14443</v>
      </c>
      <c r="B667" t="s">
        <v>13</v>
      </c>
      <c r="C667" t="str">
        <f t="shared" si="50"/>
        <v>Married</v>
      </c>
      <c r="D667" t="s">
        <v>13</v>
      </c>
      <c r="E667" t="str">
        <f t="shared" si="51"/>
        <v>Male</v>
      </c>
      <c r="F667" s="3">
        <v>130000</v>
      </c>
      <c r="G667" s="3" t="str">
        <f t="shared" si="52"/>
        <v>Upper Middle Class</v>
      </c>
      <c r="H667">
        <v>1</v>
      </c>
      <c r="I667" t="s">
        <v>34</v>
      </c>
      <c r="J667" t="s">
        <v>31</v>
      </c>
      <c r="K667" t="s">
        <v>17</v>
      </c>
      <c r="L667" t="str">
        <f t="shared" si="53"/>
        <v>Home Owner</v>
      </c>
      <c r="M667">
        <v>4</v>
      </c>
      <c r="N667" t="s">
        <v>18</v>
      </c>
      <c r="O667" t="s">
        <v>35</v>
      </c>
      <c r="P667">
        <v>40</v>
      </c>
      <c r="Q667" t="str">
        <f t="shared" si="54"/>
        <v>35 to 44 yrs</v>
      </c>
      <c r="R667" t="s">
        <v>20</v>
      </c>
    </row>
    <row r="668" spans="1:18">
      <c r="A668">
        <v>17864</v>
      </c>
      <c r="B668" t="s">
        <v>13</v>
      </c>
      <c r="C668" t="str">
        <f t="shared" si="50"/>
        <v>Married</v>
      </c>
      <c r="D668" t="s">
        <v>14</v>
      </c>
      <c r="E668" t="str">
        <f t="shared" si="51"/>
        <v>Female</v>
      </c>
      <c r="F668" s="3">
        <v>60000</v>
      </c>
      <c r="G668" s="3" t="str">
        <f t="shared" si="52"/>
        <v>Middle Class</v>
      </c>
      <c r="H668">
        <v>1</v>
      </c>
      <c r="I668" t="s">
        <v>21</v>
      </c>
      <c r="J668" t="s">
        <v>16</v>
      </c>
      <c r="K668" t="s">
        <v>17</v>
      </c>
      <c r="L668" t="str">
        <f t="shared" si="53"/>
        <v>Home Owner</v>
      </c>
      <c r="M668">
        <v>1</v>
      </c>
      <c r="N668" t="s">
        <v>24</v>
      </c>
      <c r="O668" t="s">
        <v>35</v>
      </c>
      <c r="P668">
        <v>46</v>
      </c>
      <c r="Q668" t="str">
        <f t="shared" si="54"/>
        <v>45 to 54 yrs</v>
      </c>
      <c r="R668" t="s">
        <v>17</v>
      </c>
    </row>
    <row r="669" spans="1:18">
      <c r="A669">
        <v>20505</v>
      </c>
      <c r="B669" t="s">
        <v>13</v>
      </c>
      <c r="C669" t="str">
        <f t="shared" si="50"/>
        <v>Married</v>
      </c>
      <c r="D669" t="s">
        <v>14</v>
      </c>
      <c r="E669" t="str">
        <f t="shared" si="51"/>
        <v>Female</v>
      </c>
      <c r="F669" s="3">
        <v>40000</v>
      </c>
      <c r="G669" s="3" t="str">
        <f t="shared" si="52"/>
        <v>Lower Class</v>
      </c>
      <c r="H669">
        <v>5</v>
      </c>
      <c r="I669" t="s">
        <v>30</v>
      </c>
      <c r="J669" t="s">
        <v>23</v>
      </c>
      <c r="K669" t="s">
        <v>20</v>
      </c>
      <c r="L669" t="str">
        <f t="shared" si="53"/>
        <v>Tenant</v>
      </c>
      <c r="M669">
        <v>2</v>
      </c>
      <c r="N669" t="s">
        <v>33</v>
      </c>
      <c r="O669" t="s">
        <v>35</v>
      </c>
      <c r="P669">
        <v>61</v>
      </c>
      <c r="Q669" t="str">
        <f t="shared" si="54"/>
        <v>55 to 64 yrs</v>
      </c>
      <c r="R669" t="s">
        <v>20</v>
      </c>
    </row>
    <row r="670" spans="1:18">
      <c r="A670">
        <v>14592</v>
      </c>
      <c r="B670" t="s">
        <v>13</v>
      </c>
      <c r="C670" t="str">
        <f t="shared" si="50"/>
        <v>Married</v>
      </c>
      <c r="D670" t="s">
        <v>14</v>
      </c>
      <c r="E670" t="str">
        <f t="shared" si="51"/>
        <v>Female</v>
      </c>
      <c r="F670" s="3">
        <v>60000</v>
      </c>
      <c r="G670" s="3" t="str">
        <f t="shared" si="52"/>
        <v>Middle Class</v>
      </c>
      <c r="H670">
        <v>0</v>
      </c>
      <c r="I670" t="s">
        <v>34</v>
      </c>
      <c r="J670" t="s">
        <v>23</v>
      </c>
      <c r="K670" t="s">
        <v>17</v>
      </c>
      <c r="L670" t="str">
        <f t="shared" si="53"/>
        <v>Home Owner</v>
      </c>
      <c r="M670">
        <v>0</v>
      </c>
      <c r="N670" t="s">
        <v>18</v>
      </c>
      <c r="O670" t="s">
        <v>35</v>
      </c>
      <c r="P670">
        <v>40</v>
      </c>
      <c r="Q670" t="str">
        <f t="shared" si="54"/>
        <v>35 to 44 yrs</v>
      </c>
      <c r="R670" t="s">
        <v>20</v>
      </c>
    </row>
    <row r="671" spans="1:18">
      <c r="A671">
        <v>22227</v>
      </c>
      <c r="B671" t="s">
        <v>13</v>
      </c>
      <c r="C671" t="str">
        <f t="shared" si="50"/>
        <v>Married</v>
      </c>
      <c r="D671" t="s">
        <v>14</v>
      </c>
      <c r="E671" t="str">
        <f t="shared" si="51"/>
        <v>Female</v>
      </c>
      <c r="F671" s="3">
        <v>60000</v>
      </c>
      <c r="G671" s="3" t="str">
        <f t="shared" si="52"/>
        <v>Middle Class</v>
      </c>
      <c r="H671">
        <v>2</v>
      </c>
      <c r="I671" t="s">
        <v>30</v>
      </c>
      <c r="J671" t="s">
        <v>23</v>
      </c>
      <c r="K671" t="s">
        <v>17</v>
      </c>
      <c r="L671" t="str">
        <f t="shared" si="53"/>
        <v>Home Owner</v>
      </c>
      <c r="M671">
        <v>2</v>
      </c>
      <c r="N671" t="s">
        <v>26</v>
      </c>
      <c r="O671" t="s">
        <v>35</v>
      </c>
      <c r="P671">
        <v>50</v>
      </c>
      <c r="Q671" t="str">
        <f t="shared" si="54"/>
        <v>45 to 54 yrs</v>
      </c>
      <c r="R671" t="s">
        <v>20</v>
      </c>
    </row>
    <row r="672" spans="1:18">
      <c r="A672">
        <v>21471</v>
      </c>
      <c r="B672" t="s">
        <v>13</v>
      </c>
      <c r="C672" t="str">
        <f t="shared" si="50"/>
        <v>Married</v>
      </c>
      <c r="D672" t="s">
        <v>13</v>
      </c>
      <c r="E672" t="str">
        <f t="shared" si="51"/>
        <v>Male</v>
      </c>
      <c r="F672" s="3">
        <v>70000</v>
      </c>
      <c r="G672" s="3" t="str">
        <f t="shared" si="52"/>
        <v>Middle Class</v>
      </c>
      <c r="H672">
        <v>2</v>
      </c>
      <c r="I672" t="s">
        <v>21</v>
      </c>
      <c r="J672" t="s">
        <v>23</v>
      </c>
      <c r="K672" t="s">
        <v>17</v>
      </c>
      <c r="L672" t="str">
        <f t="shared" si="53"/>
        <v>Home Owner</v>
      </c>
      <c r="M672">
        <v>1</v>
      </c>
      <c r="N672" t="s">
        <v>33</v>
      </c>
      <c r="O672" t="s">
        <v>35</v>
      </c>
      <c r="P672">
        <v>59</v>
      </c>
      <c r="Q672" t="str">
        <f t="shared" si="54"/>
        <v>55 to 64 yrs</v>
      </c>
      <c r="R672" t="s">
        <v>20</v>
      </c>
    </row>
    <row r="673" spans="1:18">
      <c r="A673">
        <v>22252</v>
      </c>
      <c r="B673" t="s">
        <v>25</v>
      </c>
      <c r="C673" t="str">
        <f t="shared" si="50"/>
        <v>Single</v>
      </c>
      <c r="D673" t="s">
        <v>14</v>
      </c>
      <c r="E673" t="str">
        <f t="shared" si="51"/>
        <v>Female</v>
      </c>
      <c r="F673" s="3">
        <v>60000</v>
      </c>
      <c r="G673" s="3" t="str">
        <f t="shared" si="52"/>
        <v>Middle Class</v>
      </c>
      <c r="H673">
        <v>1</v>
      </c>
      <c r="I673" t="s">
        <v>34</v>
      </c>
      <c r="J673" t="s">
        <v>23</v>
      </c>
      <c r="K673" t="s">
        <v>17</v>
      </c>
      <c r="L673" t="str">
        <f t="shared" si="53"/>
        <v>Home Owner</v>
      </c>
      <c r="M673">
        <v>0</v>
      </c>
      <c r="N673" t="s">
        <v>24</v>
      </c>
      <c r="O673" t="s">
        <v>35</v>
      </c>
      <c r="P673">
        <v>36</v>
      </c>
      <c r="Q673" t="str">
        <f t="shared" si="54"/>
        <v>35 to 44 yrs</v>
      </c>
      <c r="R673" t="s">
        <v>17</v>
      </c>
    </row>
    <row r="674" spans="1:18">
      <c r="A674">
        <v>21260</v>
      </c>
      <c r="B674" t="s">
        <v>25</v>
      </c>
      <c r="C674" t="str">
        <f t="shared" si="50"/>
        <v>Single</v>
      </c>
      <c r="D674" t="s">
        <v>14</v>
      </c>
      <c r="E674" t="str">
        <f t="shared" si="51"/>
        <v>Female</v>
      </c>
      <c r="F674" s="3">
        <v>40000</v>
      </c>
      <c r="G674" s="3" t="str">
        <f t="shared" si="52"/>
        <v>Lower Class</v>
      </c>
      <c r="H674">
        <v>0</v>
      </c>
      <c r="I674" t="s">
        <v>30</v>
      </c>
      <c r="J674" t="s">
        <v>16</v>
      </c>
      <c r="K674" t="s">
        <v>17</v>
      </c>
      <c r="L674" t="str">
        <f t="shared" si="53"/>
        <v>Home Owner</v>
      </c>
      <c r="M674">
        <v>2</v>
      </c>
      <c r="N674" t="s">
        <v>26</v>
      </c>
      <c r="O674" t="s">
        <v>35</v>
      </c>
      <c r="P674">
        <v>30</v>
      </c>
      <c r="Q674" t="str">
        <f t="shared" si="54"/>
        <v>25 to 34 yrs</v>
      </c>
      <c r="R674" t="s">
        <v>20</v>
      </c>
    </row>
    <row r="675" spans="1:18">
      <c r="A675">
        <v>11817</v>
      </c>
      <c r="B675" t="s">
        <v>25</v>
      </c>
      <c r="C675" t="str">
        <f t="shared" si="50"/>
        <v>Single</v>
      </c>
      <c r="D675" t="s">
        <v>14</v>
      </c>
      <c r="E675" t="str">
        <f t="shared" si="51"/>
        <v>Female</v>
      </c>
      <c r="F675" s="3">
        <v>70000</v>
      </c>
      <c r="G675" s="3" t="str">
        <f t="shared" si="52"/>
        <v>Middle Class</v>
      </c>
      <c r="H675">
        <v>4</v>
      </c>
      <c r="I675" t="s">
        <v>34</v>
      </c>
      <c r="J675" t="s">
        <v>23</v>
      </c>
      <c r="K675" t="s">
        <v>17</v>
      </c>
      <c r="L675" t="str">
        <f t="shared" si="53"/>
        <v>Home Owner</v>
      </c>
      <c r="M675">
        <v>0</v>
      </c>
      <c r="N675" t="s">
        <v>24</v>
      </c>
      <c r="O675" t="s">
        <v>35</v>
      </c>
      <c r="P675">
        <v>35</v>
      </c>
      <c r="Q675" t="str">
        <f t="shared" si="54"/>
        <v>35 to 44 yrs</v>
      </c>
      <c r="R675" t="s">
        <v>17</v>
      </c>
    </row>
    <row r="676" spans="1:18">
      <c r="A676">
        <v>19223</v>
      </c>
      <c r="B676" t="s">
        <v>13</v>
      </c>
      <c r="C676" t="str">
        <f t="shared" si="50"/>
        <v>Married</v>
      </c>
      <c r="D676" t="s">
        <v>14</v>
      </c>
      <c r="E676" t="str">
        <f t="shared" si="51"/>
        <v>Female</v>
      </c>
      <c r="F676" s="3">
        <v>30000</v>
      </c>
      <c r="G676" s="3" t="str">
        <f t="shared" si="52"/>
        <v>Lower Class</v>
      </c>
      <c r="H676">
        <v>2</v>
      </c>
      <c r="I676" t="s">
        <v>30</v>
      </c>
      <c r="J676" t="s">
        <v>16</v>
      </c>
      <c r="K676" t="s">
        <v>17</v>
      </c>
      <c r="L676" t="str">
        <f t="shared" si="53"/>
        <v>Home Owner</v>
      </c>
      <c r="M676">
        <v>2</v>
      </c>
      <c r="N676" t="s">
        <v>29</v>
      </c>
      <c r="O676" t="s">
        <v>35</v>
      </c>
      <c r="P676">
        <v>48</v>
      </c>
      <c r="Q676" t="str">
        <f t="shared" si="54"/>
        <v>45 to 54 yrs</v>
      </c>
      <c r="R676" t="s">
        <v>20</v>
      </c>
    </row>
    <row r="677" spans="1:18">
      <c r="A677">
        <v>18517</v>
      </c>
      <c r="B677" t="s">
        <v>13</v>
      </c>
      <c r="C677" t="str">
        <f t="shared" si="50"/>
        <v>Married</v>
      </c>
      <c r="D677" t="s">
        <v>13</v>
      </c>
      <c r="E677" t="str">
        <f t="shared" si="51"/>
        <v>Male</v>
      </c>
      <c r="F677" s="3">
        <v>100000</v>
      </c>
      <c r="G677" s="3" t="str">
        <f t="shared" si="52"/>
        <v>Middle Class</v>
      </c>
      <c r="H677">
        <v>3</v>
      </c>
      <c r="I677" t="s">
        <v>15</v>
      </c>
      <c r="J677" t="s">
        <v>31</v>
      </c>
      <c r="K677" t="s">
        <v>17</v>
      </c>
      <c r="L677" t="str">
        <f t="shared" si="53"/>
        <v>Home Owner</v>
      </c>
      <c r="M677">
        <v>4</v>
      </c>
      <c r="N677" t="s">
        <v>18</v>
      </c>
      <c r="O677" t="s">
        <v>35</v>
      </c>
      <c r="P677">
        <v>41</v>
      </c>
      <c r="Q677" t="str">
        <f t="shared" si="54"/>
        <v>35 to 44 yrs</v>
      </c>
      <c r="R677" t="s">
        <v>20</v>
      </c>
    </row>
    <row r="678" spans="1:18">
      <c r="A678">
        <v>21717</v>
      </c>
      <c r="B678" t="s">
        <v>13</v>
      </c>
      <c r="C678" t="str">
        <f t="shared" si="50"/>
        <v>Married</v>
      </c>
      <c r="D678" t="s">
        <v>13</v>
      </c>
      <c r="E678" t="str">
        <f t="shared" si="51"/>
        <v>Male</v>
      </c>
      <c r="F678" s="3">
        <v>40000</v>
      </c>
      <c r="G678" s="3" t="str">
        <f t="shared" si="52"/>
        <v>Lower Class</v>
      </c>
      <c r="H678">
        <v>2</v>
      </c>
      <c r="I678" t="s">
        <v>21</v>
      </c>
      <c r="J678" t="s">
        <v>22</v>
      </c>
      <c r="K678" t="s">
        <v>17</v>
      </c>
      <c r="L678" t="str">
        <f t="shared" si="53"/>
        <v>Home Owner</v>
      </c>
      <c r="M678">
        <v>1</v>
      </c>
      <c r="N678" t="s">
        <v>18</v>
      </c>
      <c r="O678" t="s">
        <v>35</v>
      </c>
      <c r="P678">
        <v>47</v>
      </c>
      <c r="Q678" t="str">
        <f t="shared" si="54"/>
        <v>45 to 54 yrs</v>
      </c>
      <c r="R678" t="s">
        <v>20</v>
      </c>
    </row>
    <row r="679" spans="1:18">
      <c r="A679">
        <v>13760</v>
      </c>
      <c r="B679" t="s">
        <v>13</v>
      </c>
      <c r="C679" t="str">
        <f t="shared" si="50"/>
        <v>Married</v>
      </c>
      <c r="D679" t="s">
        <v>13</v>
      </c>
      <c r="E679" t="str">
        <f t="shared" si="51"/>
        <v>Male</v>
      </c>
      <c r="F679" s="3">
        <v>60000</v>
      </c>
      <c r="G679" s="3" t="str">
        <f t="shared" si="52"/>
        <v>Middle Class</v>
      </c>
      <c r="H679">
        <v>4</v>
      </c>
      <c r="I679" t="s">
        <v>34</v>
      </c>
      <c r="J679" t="s">
        <v>16</v>
      </c>
      <c r="K679" t="s">
        <v>20</v>
      </c>
      <c r="L679" t="str">
        <f t="shared" si="53"/>
        <v>Tenant</v>
      </c>
      <c r="M679">
        <v>0</v>
      </c>
      <c r="N679" t="s">
        <v>18</v>
      </c>
      <c r="O679" t="s">
        <v>35</v>
      </c>
      <c r="P679">
        <v>47</v>
      </c>
      <c r="Q679" t="str">
        <f t="shared" si="54"/>
        <v>45 to 54 yrs</v>
      </c>
      <c r="R679" t="s">
        <v>20</v>
      </c>
    </row>
    <row r="680" spans="1:18">
      <c r="A680">
        <v>18145</v>
      </c>
      <c r="B680" t="s">
        <v>13</v>
      </c>
      <c r="C680" t="str">
        <f t="shared" si="50"/>
        <v>Married</v>
      </c>
      <c r="D680" t="s">
        <v>13</v>
      </c>
      <c r="E680" t="str">
        <f t="shared" si="51"/>
        <v>Male</v>
      </c>
      <c r="F680" s="3">
        <v>80000</v>
      </c>
      <c r="G680" s="3" t="str">
        <f t="shared" si="52"/>
        <v>Middle Class</v>
      </c>
      <c r="H680">
        <v>5</v>
      </c>
      <c r="I680" t="s">
        <v>15</v>
      </c>
      <c r="J680" t="s">
        <v>31</v>
      </c>
      <c r="K680" t="s">
        <v>20</v>
      </c>
      <c r="L680" t="str">
        <f t="shared" si="53"/>
        <v>Tenant</v>
      </c>
      <c r="M680">
        <v>2</v>
      </c>
      <c r="N680" t="s">
        <v>24</v>
      </c>
      <c r="O680" t="s">
        <v>19</v>
      </c>
      <c r="P680">
        <v>62</v>
      </c>
      <c r="Q680" t="str">
        <f t="shared" si="54"/>
        <v>55 to 64 yrs</v>
      </c>
      <c r="R680" t="s">
        <v>20</v>
      </c>
    </row>
    <row r="681" spans="1:18">
      <c r="A681">
        <v>21770</v>
      </c>
      <c r="B681" t="s">
        <v>13</v>
      </c>
      <c r="C681" t="str">
        <f t="shared" si="50"/>
        <v>Married</v>
      </c>
      <c r="D681" t="s">
        <v>13</v>
      </c>
      <c r="E681" t="str">
        <f t="shared" si="51"/>
        <v>Male</v>
      </c>
      <c r="F681" s="3">
        <v>60000</v>
      </c>
      <c r="G681" s="3" t="str">
        <f t="shared" si="52"/>
        <v>Middle Class</v>
      </c>
      <c r="H681">
        <v>4</v>
      </c>
      <c r="I681" t="s">
        <v>15</v>
      </c>
      <c r="J681" t="s">
        <v>31</v>
      </c>
      <c r="K681" t="s">
        <v>17</v>
      </c>
      <c r="L681" t="str">
        <f t="shared" si="53"/>
        <v>Home Owner</v>
      </c>
      <c r="M681">
        <v>2</v>
      </c>
      <c r="N681" t="s">
        <v>33</v>
      </c>
      <c r="O681" t="s">
        <v>35</v>
      </c>
      <c r="P681">
        <v>60</v>
      </c>
      <c r="Q681" t="str">
        <f t="shared" si="54"/>
        <v>55 to 64 yrs</v>
      </c>
      <c r="R681" t="s">
        <v>20</v>
      </c>
    </row>
    <row r="682" spans="1:18">
      <c r="A682">
        <v>11165</v>
      </c>
      <c r="B682" t="s">
        <v>13</v>
      </c>
      <c r="C682" t="str">
        <f t="shared" si="50"/>
        <v>Married</v>
      </c>
      <c r="D682" t="s">
        <v>14</v>
      </c>
      <c r="E682" t="str">
        <f t="shared" si="51"/>
        <v>Female</v>
      </c>
      <c r="F682" s="3">
        <v>60000</v>
      </c>
      <c r="G682" s="3" t="str">
        <f t="shared" si="52"/>
        <v>Middle Class</v>
      </c>
      <c r="H682">
        <v>0</v>
      </c>
      <c r="I682" t="s">
        <v>21</v>
      </c>
      <c r="J682" t="s">
        <v>16</v>
      </c>
      <c r="K682" t="s">
        <v>20</v>
      </c>
      <c r="L682" t="str">
        <f t="shared" si="53"/>
        <v>Tenant</v>
      </c>
      <c r="M682">
        <v>1</v>
      </c>
      <c r="N682" t="s">
        <v>29</v>
      </c>
      <c r="O682" t="s">
        <v>35</v>
      </c>
      <c r="P682">
        <v>33</v>
      </c>
      <c r="Q682" t="str">
        <f t="shared" si="54"/>
        <v>25 to 34 yrs</v>
      </c>
      <c r="R682" t="s">
        <v>20</v>
      </c>
    </row>
    <row r="683" spans="1:18">
      <c r="A683">
        <v>16377</v>
      </c>
      <c r="B683" t="s">
        <v>25</v>
      </c>
      <c r="C683" t="str">
        <f t="shared" si="50"/>
        <v>Single</v>
      </c>
      <c r="D683" t="s">
        <v>14</v>
      </c>
      <c r="E683" t="str">
        <f t="shared" si="51"/>
        <v>Female</v>
      </c>
      <c r="F683" s="3">
        <v>80000</v>
      </c>
      <c r="G683" s="3" t="str">
        <f t="shared" si="52"/>
        <v>Middle Class</v>
      </c>
      <c r="H683">
        <v>4</v>
      </c>
      <c r="I683" t="s">
        <v>34</v>
      </c>
      <c r="J683" t="s">
        <v>16</v>
      </c>
      <c r="K683" t="s">
        <v>20</v>
      </c>
      <c r="L683" t="str">
        <f t="shared" si="53"/>
        <v>Tenant</v>
      </c>
      <c r="M683">
        <v>0</v>
      </c>
      <c r="N683" t="s">
        <v>18</v>
      </c>
      <c r="O683" t="s">
        <v>35</v>
      </c>
      <c r="P683">
        <v>47</v>
      </c>
      <c r="Q683" t="str">
        <f t="shared" si="54"/>
        <v>45 to 54 yrs</v>
      </c>
      <c r="R683" t="s">
        <v>20</v>
      </c>
    </row>
    <row r="684" spans="1:18">
      <c r="A684">
        <v>26248</v>
      </c>
      <c r="B684" t="s">
        <v>13</v>
      </c>
      <c r="C684" t="str">
        <f t="shared" si="50"/>
        <v>Married</v>
      </c>
      <c r="D684" t="s">
        <v>13</v>
      </c>
      <c r="E684" t="str">
        <f t="shared" si="51"/>
        <v>Male</v>
      </c>
      <c r="F684" s="3">
        <v>20000</v>
      </c>
      <c r="G684" s="3" t="str">
        <f t="shared" si="52"/>
        <v>Lower Class</v>
      </c>
      <c r="H684">
        <v>3</v>
      </c>
      <c r="I684" t="s">
        <v>32</v>
      </c>
      <c r="J684" t="s">
        <v>22</v>
      </c>
      <c r="K684" t="s">
        <v>20</v>
      </c>
      <c r="L684" t="str">
        <f t="shared" si="53"/>
        <v>Tenant</v>
      </c>
      <c r="M684">
        <v>2</v>
      </c>
      <c r="N684" t="s">
        <v>18</v>
      </c>
      <c r="O684" t="s">
        <v>35</v>
      </c>
      <c r="P684">
        <v>52</v>
      </c>
      <c r="Q684" t="str">
        <f t="shared" si="54"/>
        <v>45 to 54 yrs</v>
      </c>
      <c r="R684" t="s">
        <v>20</v>
      </c>
    </row>
    <row r="685" spans="1:18">
      <c r="A685">
        <v>23461</v>
      </c>
      <c r="B685" t="s">
        <v>13</v>
      </c>
      <c r="C685" t="str">
        <f t="shared" si="50"/>
        <v>Married</v>
      </c>
      <c r="D685" t="s">
        <v>14</v>
      </c>
      <c r="E685" t="str">
        <f t="shared" si="51"/>
        <v>Female</v>
      </c>
      <c r="F685" s="3">
        <v>90000</v>
      </c>
      <c r="G685" s="3" t="str">
        <f t="shared" si="52"/>
        <v>Middle Class</v>
      </c>
      <c r="H685">
        <v>5</v>
      </c>
      <c r="I685" t="s">
        <v>21</v>
      </c>
      <c r="J685" t="s">
        <v>23</v>
      </c>
      <c r="K685" t="s">
        <v>17</v>
      </c>
      <c r="L685" t="str">
        <f t="shared" si="53"/>
        <v>Home Owner</v>
      </c>
      <c r="M685">
        <v>3</v>
      </c>
      <c r="N685" t="s">
        <v>24</v>
      </c>
      <c r="O685" t="s">
        <v>35</v>
      </c>
      <c r="P685">
        <v>40</v>
      </c>
      <c r="Q685" t="str">
        <f t="shared" si="54"/>
        <v>35 to 44 yrs</v>
      </c>
      <c r="R685" t="s">
        <v>20</v>
      </c>
    </row>
    <row r="686" spans="1:18">
      <c r="A686">
        <v>29133</v>
      </c>
      <c r="B686" t="s">
        <v>25</v>
      </c>
      <c r="C686" t="str">
        <f t="shared" si="50"/>
        <v>Single</v>
      </c>
      <c r="D686" t="s">
        <v>14</v>
      </c>
      <c r="E686" t="str">
        <f t="shared" si="51"/>
        <v>Female</v>
      </c>
      <c r="F686" s="3">
        <v>60000</v>
      </c>
      <c r="G686" s="3" t="str">
        <f t="shared" si="52"/>
        <v>Middle Class</v>
      </c>
      <c r="H686">
        <v>4</v>
      </c>
      <c r="I686" t="s">
        <v>15</v>
      </c>
      <c r="J686" t="s">
        <v>16</v>
      </c>
      <c r="K686" t="s">
        <v>20</v>
      </c>
      <c r="L686" t="str">
        <f t="shared" si="53"/>
        <v>Tenant</v>
      </c>
      <c r="M686">
        <v>2</v>
      </c>
      <c r="N686" t="s">
        <v>18</v>
      </c>
      <c r="O686" t="s">
        <v>35</v>
      </c>
      <c r="P686">
        <v>42</v>
      </c>
      <c r="Q686" t="str">
        <f t="shared" si="54"/>
        <v>35 to 44 yrs</v>
      </c>
      <c r="R686" t="s">
        <v>20</v>
      </c>
    </row>
    <row r="687" spans="1:18">
      <c r="A687">
        <v>27673</v>
      </c>
      <c r="B687" t="s">
        <v>25</v>
      </c>
      <c r="C687" t="str">
        <f t="shared" si="50"/>
        <v>Single</v>
      </c>
      <c r="D687" t="s">
        <v>14</v>
      </c>
      <c r="E687" t="str">
        <f t="shared" si="51"/>
        <v>Female</v>
      </c>
      <c r="F687" s="3">
        <v>60000</v>
      </c>
      <c r="G687" s="3" t="str">
        <f t="shared" si="52"/>
        <v>Middle Class</v>
      </c>
      <c r="H687">
        <v>3</v>
      </c>
      <c r="I687" t="s">
        <v>34</v>
      </c>
      <c r="J687" t="s">
        <v>31</v>
      </c>
      <c r="K687" t="s">
        <v>17</v>
      </c>
      <c r="L687" t="str">
        <f t="shared" si="53"/>
        <v>Home Owner</v>
      </c>
      <c r="M687">
        <v>2</v>
      </c>
      <c r="N687" t="s">
        <v>26</v>
      </c>
      <c r="O687" t="s">
        <v>35</v>
      </c>
      <c r="P687">
        <v>53</v>
      </c>
      <c r="Q687" t="str">
        <f t="shared" si="54"/>
        <v>45 to 54 yrs</v>
      </c>
      <c r="R687" t="s">
        <v>17</v>
      </c>
    </row>
    <row r="688" spans="1:18">
      <c r="A688">
        <v>12774</v>
      </c>
      <c r="B688" t="s">
        <v>13</v>
      </c>
      <c r="C688" t="str">
        <f t="shared" si="50"/>
        <v>Married</v>
      </c>
      <c r="D688" t="s">
        <v>14</v>
      </c>
      <c r="E688" t="str">
        <f t="shared" si="51"/>
        <v>Female</v>
      </c>
      <c r="F688" s="3">
        <v>40000</v>
      </c>
      <c r="G688" s="3" t="str">
        <f t="shared" si="52"/>
        <v>Lower Class</v>
      </c>
      <c r="H688">
        <v>1</v>
      </c>
      <c r="I688" t="s">
        <v>21</v>
      </c>
      <c r="J688" t="s">
        <v>22</v>
      </c>
      <c r="K688" t="s">
        <v>17</v>
      </c>
      <c r="L688" t="str">
        <f t="shared" si="53"/>
        <v>Home Owner</v>
      </c>
      <c r="M688">
        <v>1</v>
      </c>
      <c r="N688" t="s">
        <v>29</v>
      </c>
      <c r="O688" t="s">
        <v>35</v>
      </c>
      <c r="P688">
        <v>51</v>
      </c>
      <c r="Q688" t="str">
        <f t="shared" si="54"/>
        <v>45 to 54 yrs</v>
      </c>
      <c r="R688" t="s">
        <v>17</v>
      </c>
    </row>
    <row r="689" spans="1:18">
      <c r="A689">
        <v>18910</v>
      </c>
      <c r="B689" t="s">
        <v>25</v>
      </c>
      <c r="C689" t="str">
        <f t="shared" si="50"/>
        <v>Single</v>
      </c>
      <c r="D689" t="s">
        <v>13</v>
      </c>
      <c r="E689" t="str">
        <f t="shared" si="51"/>
        <v>Male</v>
      </c>
      <c r="F689" s="3">
        <v>30000</v>
      </c>
      <c r="G689" s="3" t="str">
        <f t="shared" si="52"/>
        <v>Lower Class</v>
      </c>
      <c r="H689">
        <v>0</v>
      </c>
      <c r="I689" t="s">
        <v>21</v>
      </c>
      <c r="J689" t="s">
        <v>16</v>
      </c>
      <c r="K689" t="s">
        <v>17</v>
      </c>
      <c r="L689" t="str">
        <f t="shared" si="53"/>
        <v>Home Owner</v>
      </c>
      <c r="M689">
        <v>2</v>
      </c>
      <c r="N689" t="s">
        <v>26</v>
      </c>
      <c r="O689" t="s">
        <v>35</v>
      </c>
      <c r="P689">
        <v>30</v>
      </c>
      <c r="Q689" t="str">
        <f t="shared" si="54"/>
        <v>25 to 34 yrs</v>
      </c>
      <c r="R689" t="s">
        <v>20</v>
      </c>
    </row>
    <row r="690" spans="1:18">
      <c r="A690">
        <v>11699</v>
      </c>
      <c r="B690" t="s">
        <v>25</v>
      </c>
      <c r="C690" t="str">
        <f t="shared" si="50"/>
        <v>Single</v>
      </c>
      <c r="D690" t="s">
        <v>13</v>
      </c>
      <c r="E690" t="str">
        <f t="shared" si="51"/>
        <v>Male</v>
      </c>
      <c r="F690" s="3">
        <v>60000</v>
      </c>
      <c r="G690" s="3" t="str">
        <f t="shared" si="52"/>
        <v>Middle Class</v>
      </c>
      <c r="H690">
        <v>0</v>
      </c>
      <c r="I690" t="s">
        <v>15</v>
      </c>
      <c r="J690" t="s">
        <v>16</v>
      </c>
      <c r="K690" t="s">
        <v>20</v>
      </c>
      <c r="L690" t="str">
        <f t="shared" si="53"/>
        <v>Tenant</v>
      </c>
      <c r="M690">
        <v>2</v>
      </c>
      <c r="N690" t="s">
        <v>18</v>
      </c>
      <c r="O690" t="s">
        <v>35</v>
      </c>
      <c r="P690">
        <v>30</v>
      </c>
      <c r="Q690" t="str">
        <f t="shared" si="54"/>
        <v>25 to 34 yrs</v>
      </c>
      <c r="R690" t="s">
        <v>20</v>
      </c>
    </row>
    <row r="691" spans="1:18">
      <c r="A691">
        <v>16725</v>
      </c>
      <c r="B691" t="s">
        <v>13</v>
      </c>
      <c r="C691" t="str">
        <f t="shared" si="50"/>
        <v>Married</v>
      </c>
      <c r="D691" t="s">
        <v>13</v>
      </c>
      <c r="E691" t="str">
        <f t="shared" si="51"/>
        <v>Male</v>
      </c>
      <c r="F691" s="3">
        <v>30000</v>
      </c>
      <c r="G691" s="3" t="str">
        <f t="shared" si="52"/>
        <v>Lower Class</v>
      </c>
      <c r="H691">
        <v>0</v>
      </c>
      <c r="I691" t="s">
        <v>30</v>
      </c>
      <c r="J691" t="s">
        <v>16</v>
      </c>
      <c r="K691" t="s">
        <v>17</v>
      </c>
      <c r="L691" t="str">
        <f t="shared" si="53"/>
        <v>Home Owner</v>
      </c>
      <c r="M691">
        <v>2</v>
      </c>
      <c r="N691" t="s">
        <v>26</v>
      </c>
      <c r="O691" t="s">
        <v>35</v>
      </c>
      <c r="P691">
        <v>26</v>
      </c>
      <c r="Q691" t="str">
        <f t="shared" si="54"/>
        <v>25 to 34 yrs</v>
      </c>
      <c r="R691" t="s">
        <v>20</v>
      </c>
    </row>
    <row r="692" spans="1:18">
      <c r="A692">
        <v>28269</v>
      </c>
      <c r="B692" t="s">
        <v>25</v>
      </c>
      <c r="C692" t="str">
        <f t="shared" si="50"/>
        <v>Single</v>
      </c>
      <c r="D692" t="s">
        <v>14</v>
      </c>
      <c r="E692" t="str">
        <f t="shared" si="51"/>
        <v>Female</v>
      </c>
      <c r="F692" s="3">
        <v>130000</v>
      </c>
      <c r="G692" s="3" t="str">
        <f t="shared" si="52"/>
        <v>Upper Middle Class</v>
      </c>
      <c r="H692">
        <v>1</v>
      </c>
      <c r="I692" t="s">
        <v>15</v>
      </c>
      <c r="J692" t="s">
        <v>31</v>
      </c>
      <c r="K692" t="s">
        <v>20</v>
      </c>
      <c r="L692" t="str">
        <f t="shared" si="53"/>
        <v>Tenant</v>
      </c>
      <c r="M692">
        <v>1</v>
      </c>
      <c r="N692" t="s">
        <v>24</v>
      </c>
      <c r="O692" t="s">
        <v>35</v>
      </c>
      <c r="P692">
        <v>45</v>
      </c>
      <c r="Q692" t="str">
        <f t="shared" si="54"/>
        <v>45 to 54 yrs</v>
      </c>
      <c r="R692" t="s">
        <v>20</v>
      </c>
    </row>
    <row r="693" spans="1:18">
      <c r="A693">
        <v>23144</v>
      </c>
      <c r="B693" t="s">
        <v>13</v>
      </c>
      <c r="C693" t="str">
        <f t="shared" si="50"/>
        <v>Married</v>
      </c>
      <c r="D693" t="s">
        <v>13</v>
      </c>
      <c r="E693" t="str">
        <f t="shared" si="51"/>
        <v>Male</v>
      </c>
      <c r="F693" s="3">
        <v>50000</v>
      </c>
      <c r="G693" s="3" t="str">
        <f t="shared" si="52"/>
        <v>Lower Class</v>
      </c>
      <c r="H693">
        <v>1</v>
      </c>
      <c r="I693" t="s">
        <v>15</v>
      </c>
      <c r="J693" t="s">
        <v>16</v>
      </c>
      <c r="K693" t="s">
        <v>17</v>
      </c>
      <c r="L693" t="str">
        <f t="shared" si="53"/>
        <v>Home Owner</v>
      </c>
      <c r="M693">
        <v>0</v>
      </c>
      <c r="N693" t="s">
        <v>18</v>
      </c>
      <c r="O693" t="s">
        <v>35</v>
      </c>
      <c r="P693">
        <v>34</v>
      </c>
      <c r="Q693" t="str">
        <f t="shared" si="54"/>
        <v>25 to 34 yrs</v>
      </c>
      <c r="R693" t="s">
        <v>17</v>
      </c>
    </row>
    <row r="694" spans="1:18">
      <c r="A694">
        <v>23376</v>
      </c>
      <c r="B694" t="s">
        <v>13</v>
      </c>
      <c r="C694" t="str">
        <f t="shared" si="50"/>
        <v>Married</v>
      </c>
      <c r="D694" t="s">
        <v>13</v>
      </c>
      <c r="E694" t="str">
        <f t="shared" si="51"/>
        <v>Male</v>
      </c>
      <c r="F694" s="3">
        <v>70000</v>
      </c>
      <c r="G694" s="3" t="str">
        <f t="shared" si="52"/>
        <v>Middle Class</v>
      </c>
      <c r="H694">
        <v>1</v>
      </c>
      <c r="I694" t="s">
        <v>15</v>
      </c>
      <c r="J694" t="s">
        <v>23</v>
      </c>
      <c r="K694" t="s">
        <v>17</v>
      </c>
      <c r="L694" t="str">
        <f t="shared" si="53"/>
        <v>Home Owner</v>
      </c>
      <c r="M694">
        <v>1</v>
      </c>
      <c r="N694" t="s">
        <v>24</v>
      </c>
      <c r="O694" t="s">
        <v>35</v>
      </c>
      <c r="P694">
        <v>44</v>
      </c>
      <c r="Q694" t="str">
        <f t="shared" si="54"/>
        <v>35 to 44 yrs</v>
      </c>
      <c r="R694" t="s">
        <v>17</v>
      </c>
    </row>
    <row r="695" spans="1:18">
      <c r="A695">
        <v>25970</v>
      </c>
      <c r="B695" t="s">
        <v>25</v>
      </c>
      <c r="C695" t="str">
        <f t="shared" si="50"/>
        <v>Single</v>
      </c>
      <c r="D695" t="s">
        <v>14</v>
      </c>
      <c r="E695" t="str">
        <f t="shared" si="51"/>
        <v>Female</v>
      </c>
      <c r="F695" s="3">
        <v>60000</v>
      </c>
      <c r="G695" s="3" t="str">
        <f t="shared" si="52"/>
        <v>Middle Class</v>
      </c>
      <c r="H695">
        <v>4</v>
      </c>
      <c r="I695" t="s">
        <v>15</v>
      </c>
      <c r="J695" t="s">
        <v>16</v>
      </c>
      <c r="K695" t="s">
        <v>20</v>
      </c>
      <c r="L695" t="str">
        <f t="shared" si="53"/>
        <v>Tenant</v>
      </c>
      <c r="M695">
        <v>2</v>
      </c>
      <c r="N695" t="s">
        <v>18</v>
      </c>
      <c r="O695" t="s">
        <v>35</v>
      </c>
      <c r="P695">
        <v>41</v>
      </c>
      <c r="Q695" t="str">
        <f t="shared" si="54"/>
        <v>35 to 44 yrs</v>
      </c>
      <c r="R695" t="s">
        <v>17</v>
      </c>
    </row>
    <row r="696" spans="1:18">
      <c r="A696">
        <v>28068</v>
      </c>
      <c r="B696" t="s">
        <v>25</v>
      </c>
      <c r="C696" t="str">
        <f t="shared" si="50"/>
        <v>Single</v>
      </c>
      <c r="D696" t="s">
        <v>14</v>
      </c>
      <c r="E696" t="str">
        <f t="shared" si="51"/>
        <v>Female</v>
      </c>
      <c r="F696" s="3">
        <v>80000</v>
      </c>
      <c r="G696" s="3" t="str">
        <f t="shared" si="52"/>
        <v>Middle Class</v>
      </c>
      <c r="H696">
        <v>3</v>
      </c>
      <c r="I696" t="s">
        <v>34</v>
      </c>
      <c r="J696" t="s">
        <v>23</v>
      </c>
      <c r="K696" t="s">
        <v>20</v>
      </c>
      <c r="L696" t="str">
        <f t="shared" si="53"/>
        <v>Tenant</v>
      </c>
      <c r="M696">
        <v>0</v>
      </c>
      <c r="N696" t="s">
        <v>18</v>
      </c>
      <c r="O696" t="s">
        <v>35</v>
      </c>
      <c r="P696">
        <v>36</v>
      </c>
      <c r="Q696" t="str">
        <f t="shared" si="54"/>
        <v>35 to 44 yrs</v>
      </c>
      <c r="R696" t="s">
        <v>17</v>
      </c>
    </row>
    <row r="697" spans="1:18">
      <c r="A697">
        <v>18390</v>
      </c>
      <c r="B697" t="s">
        <v>13</v>
      </c>
      <c r="C697" t="str">
        <f t="shared" si="50"/>
        <v>Married</v>
      </c>
      <c r="D697" t="s">
        <v>13</v>
      </c>
      <c r="E697" t="str">
        <f t="shared" si="51"/>
        <v>Male</v>
      </c>
      <c r="F697" s="3">
        <v>80000</v>
      </c>
      <c r="G697" s="3" t="str">
        <f t="shared" si="52"/>
        <v>Middle Class</v>
      </c>
      <c r="H697">
        <v>5</v>
      </c>
      <c r="I697" t="s">
        <v>21</v>
      </c>
      <c r="J697" t="s">
        <v>23</v>
      </c>
      <c r="K697" t="s">
        <v>17</v>
      </c>
      <c r="L697" t="str">
        <f t="shared" si="53"/>
        <v>Home Owner</v>
      </c>
      <c r="M697">
        <v>2</v>
      </c>
      <c r="N697" t="s">
        <v>18</v>
      </c>
      <c r="O697" t="s">
        <v>35</v>
      </c>
      <c r="P697">
        <v>44</v>
      </c>
      <c r="Q697" t="str">
        <f t="shared" si="54"/>
        <v>35 to 44 yrs</v>
      </c>
      <c r="R697" t="s">
        <v>20</v>
      </c>
    </row>
    <row r="698" spans="1:18">
      <c r="A698">
        <v>29112</v>
      </c>
      <c r="B698" t="s">
        <v>25</v>
      </c>
      <c r="C698" t="str">
        <f t="shared" si="50"/>
        <v>Single</v>
      </c>
      <c r="D698" t="s">
        <v>13</v>
      </c>
      <c r="E698" t="str">
        <f t="shared" si="51"/>
        <v>Male</v>
      </c>
      <c r="F698" s="3">
        <v>60000</v>
      </c>
      <c r="G698" s="3" t="str">
        <f t="shared" si="52"/>
        <v>Middle Class</v>
      </c>
      <c r="H698">
        <v>0</v>
      </c>
      <c r="I698" t="s">
        <v>21</v>
      </c>
      <c r="J698" t="s">
        <v>23</v>
      </c>
      <c r="K698" t="s">
        <v>20</v>
      </c>
      <c r="L698" t="str">
        <f t="shared" si="53"/>
        <v>Tenant</v>
      </c>
      <c r="M698">
        <v>2</v>
      </c>
      <c r="N698" t="s">
        <v>29</v>
      </c>
      <c r="O698" t="s">
        <v>35</v>
      </c>
      <c r="P698">
        <v>30</v>
      </c>
      <c r="Q698" t="str">
        <f t="shared" si="54"/>
        <v>25 to 34 yrs</v>
      </c>
      <c r="R698" t="s">
        <v>20</v>
      </c>
    </row>
    <row r="699" spans="1:18">
      <c r="A699">
        <v>14090</v>
      </c>
      <c r="B699" t="s">
        <v>13</v>
      </c>
      <c r="C699" t="str">
        <f t="shared" si="50"/>
        <v>Married</v>
      </c>
      <c r="D699" t="s">
        <v>14</v>
      </c>
      <c r="E699" t="str">
        <f t="shared" si="51"/>
        <v>Female</v>
      </c>
      <c r="F699" s="3">
        <v>30000</v>
      </c>
      <c r="G699" s="3" t="str">
        <f t="shared" si="52"/>
        <v>Lower Class</v>
      </c>
      <c r="H699">
        <v>0</v>
      </c>
      <c r="I699" t="s">
        <v>32</v>
      </c>
      <c r="J699" t="s">
        <v>22</v>
      </c>
      <c r="K699" t="s">
        <v>20</v>
      </c>
      <c r="L699" t="str">
        <f t="shared" si="53"/>
        <v>Tenant</v>
      </c>
      <c r="M699">
        <v>2</v>
      </c>
      <c r="N699" t="s">
        <v>18</v>
      </c>
      <c r="O699" t="s">
        <v>35</v>
      </c>
      <c r="P699">
        <v>28</v>
      </c>
      <c r="Q699" t="str">
        <f t="shared" si="54"/>
        <v>25 to 34 yrs</v>
      </c>
      <c r="R699" t="s">
        <v>20</v>
      </c>
    </row>
    <row r="700" spans="1:18">
      <c r="A700">
        <v>27040</v>
      </c>
      <c r="B700" t="s">
        <v>13</v>
      </c>
      <c r="C700" t="str">
        <f t="shared" si="50"/>
        <v>Married</v>
      </c>
      <c r="D700" t="s">
        <v>13</v>
      </c>
      <c r="E700" t="str">
        <f t="shared" si="51"/>
        <v>Male</v>
      </c>
      <c r="F700" s="3">
        <v>20000</v>
      </c>
      <c r="G700" s="3" t="str">
        <f t="shared" si="52"/>
        <v>Lower Class</v>
      </c>
      <c r="H700">
        <v>2</v>
      </c>
      <c r="I700" t="s">
        <v>32</v>
      </c>
      <c r="J700" t="s">
        <v>22</v>
      </c>
      <c r="K700" t="s">
        <v>17</v>
      </c>
      <c r="L700" t="str">
        <f t="shared" si="53"/>
        <v>Home Owner</v>
      </c>
      <c r="M700">
        <v>2</v>
      </c>
      <c r="N700" t="s">
        <v>29</v>
      </c>
      <c r="O700" t="s">
        <v>35</v>
      </c>
      <c r="P700">
        <v>49</v>
      </c>
      <c r="Q700" t="str">
        <f t="shared" si="54"/>
        <v>45 to 54 yrs</v>
      </c>
      <c r="R700" t="s">
        <v>20</v>
      </c>
    </row>
    <row r="701" spans="1:18">
      <c r="A701">
        <v>23479</v>
      </c>
      <c r="B701" t="s">
        <v>25</v>
      </c>
      <c r="C701" t="str">
        <f t="shared" si="50"/>
        <v>Single</v>
      </c>
      <c r="D701" t="s">
        <v>13</v>
      </c>
      <c r="E701" t="str">
        <f t="shared" si="51"/>
        <v>Male</v>
      </c>
      <c r="F701" s="3">
        <v>90000</v>
      </c>
      <c r="G701" s="3" t="str">
        <f t="shared" si="52"/>
        <v>Middle Class</v>
      </c>
      <c r="H701">
        <v>0</v>
      </c>
      <c r="I701" t="s">
        <v>21</v>
      </c>
      <c r="J701" t="s">
        <v>23</v>
      </c>
      <c r="K701" t="s">
        <v>20</v>
      </c>
      <c r="L701" t="str">
        <f t="shared" si="53"/>
        <v>Tenant</v>
      </c>
      <c r="M701">
        <v>2</v>
      </c>
      <c r="N701" t="s">
        <v>18</v>
      </c>
      <c r="O701" t="s">
        <v>35</v>
      </c>
      <c r="P701">
        <v>43</v>
      </c>
      <c r="Q701" t="str">
        <f t="shared" si="54"/>
        <v>35 to 44 yrs</v>
      </c>
      <c r="R701" t="s">
        <v>17</v>
      </c>
    </row>
    <row r="702" spans="1:18">
      <c r="A702">
        <v>16795</v>
      </c>
      <c r="B702" t="s">
        <v>13</v>
      </c>
      <c r="C702" t="str">
        <f t="shared" si="50"/>
        <v>Married</v>
      </c>
      <c r="D702" t="s">
        <v>14</v>
      </c>
      <c r="E702" t="str">
        <f t="shared" si="51"/>
        <v>Female</v>
      </c>
      <c r="F702" s="3">
        <v>70000</v>
      </c>
      <c r="G702" s="3" t="str">
        <f t="shared" si="52"/>
        <v>Middle Class</v>
      </c>
      <c r="H702">
        <v>4</v>
      </c>
      <c r="I702" t="s">
        <v>15</v>
      </c>
      <c r="J702" t="s">
        <v>31</v>
      </c>
      <c r="K702" t="s">
        <v>17</v>
      </c>
      <c r="L702" t="str">
        <f t="shared" si="53"/>
        <v>Home Owner</v>
      </c>
      <c r="M702">
        <v>1</v>
      </c>
      <c r="N702" t="s">
        <v>29</v>
      </c>
      <c r="O702" t="s">
        <v>35</v>
      </c>
      <c r="P702">
        <v>59</v>
      </c>
      <c r="Q702" t="str">
        <f t="shared" si="54"/>
        <v>55 to 64 yrs</v>
      </c>
      <c r="R702" t="s">
        <v>20</v>
      </c>
    </row>
    <row r="703" spans="1:18">
      <c r="A703">
        <v>22014</v>
      </c>
      <c r="B703" t="s">
        <v>25</v>
      </c>
      <c r="C703" t="str">
        <f t="shared" si="50"/>
        <v>Single</v>
      </c>
      <c r="D703" t="s">
        <v>13</v>
      </c>
      <c r="E703" t="str">
        <f t="shared" si="51"/>
        <v>Male</v>
      </c>
      <c r="F703" s="3">
        <v>30000</v>
      </c>
      <c r="G703" s="3" t="str">
        <f t="shared" si="52"/>
        <v>Lower Class</v>
      </c>
      <c r="H703">
        <v>0</v>
      </c>
      <c r="I703" t="s">
        <v>30</v>
      </c>
      <c r="J703" t="s">
        <v>16</v>
      </c>
      <c r="K703" t="s">
        <v>17</v>
      </c>
      <c r="L703" t="str">
        <f t="shared" si="53"/>
        <v>Home Owner</v>
      </c>
      <c r="M703">
        <v>2</v>
      </c>
      <c r="N703" t="s">
        <v>26</v>
      </c>
      <c r="O703" t="s">
        <v>35</v>
      </c>
      <c r="P703">
        <v>26</v>
      </c>
      <c r="Q703" t="str">
        <f t="shared" si="54"/>
        <v>25 to 34 yrs</v>
      </c>
      <c r="R703" t="s">
        <v>20</v>
      </c>
    </row>
    <row r="704" spans="1:18">
      <c r="A704">
        <v>13314</v>
      </c>
      <c r="B704" t="s">
        <v>13</v>
      </c>
      <c r="C704" t="str">
        <f t="shared" si="50"/>
        <v>Married</v>
      </c>
      <c r="D704" t="s">
        <v>13</v>
      </c>
      <c r="E704" t="str">
        <f t="shared" si="51"/>
        <v>Male</v>
      </c>
      <c r="F704" s="3">
        <v>120000</v>
      </c>
      <c r="G704" s="3" t="str">
        <f t="shared" si="52"/>
        <v>Upper Middle Class</v>
      </c>
      <c r="H704">
        <v>1</v>
      </c>
      <c r="I704" t="s">
        <v>30</v>
      </c>
      <c r="J704" t="s">
        <v>23</v>
      </c>
      <c r="K704" t="s">
        <v>17</v>
      </c>
      <c r="L704" t="str">
        <f t="shared" si="53"/>
        <v>Home Owner</v>
      </c>
      <c r="M704">
        <v>4</v>
      </c>
      <c r="N704" t="s">
        <v>26</v>
      </c>
      <c r="O704" t="s">
        <v>35</v>
      </c>
      <c r="P704">
        <v>46</v>
      </c>
      <c r="Q704" t="str">
        <f t="shared" si="54"/>
        <v>45 to 54 yrs</v>
      </c>
      <c r="R704" t="s">
        <v>17</v>
      </c>
    </row>
    <row r="705" spans="1:18">
      <c r="A705">
        <v>11619</v>
      </c>
      <c r="B705" t="s">
        <v>25</v>
      </c>
      <c r="C705" t="str">
        <f t="shared" si="50"/>
        <v>Single</v>
      </c>
      <c r="D705" t="s">
        <v>14</v>
      </c>
      <c r="E705" t="str">
        <f t="shared" si="51"/>
        <v>Female</v>
      </c>
      <c r="F705" s="3">
        <v>50000</v>
      </c>
      <c r="G705" s="3" t="str">
        <f t="shared" si="52"/>
        <v>Lower Class</v>
      </c>
      <c r="H705">
        <v>0</v>
      </c>
      <c r="I705" t="s">
        <v>34</v>
      </c>
      <c r="J705" t="s">
        <v>16</v>
      </c>
      <c r="K705" t="s">
        <v>17</v>
      </c>
      <c r="L705" t="str">
        <f t="shared" si="53"/>
        <v>Home Owner</v>
      </c>
      <c r="M705">
        <v>0</v>
      </c>
      <c r="N705" t="s">
        <v>29</v>
      </c>
      <c r="O705" t="s">
        <v>35</v>
      </c>
      <c r="P705">
        <v>33</v>
      </c>
      <c r="Q705" t="str">
        <f t="shared" si="54"/>
        <v>25 to 34 yrs</v>
      </c>
      <c r="R705" t="s">
        <v>20</v>
      </c>
    </row>
    <row r="706" spans="1:18">
      <c r="A706">
        <v>29132</v>
      </c>
      <c r="B706" t="s">
        <v>25</v>
      </c>
      <c r="C706" t="str">
        <f t="shared" si="50"/>
        <v>Single</v>
      </c>
      <c r="D706" t="s">
        <v>14</v>
      </c>
      <c r="E706" t="str">
        <f t="shared" si="51"/>
        <v>Female</v>
      </c>
      <c r="F706" s="3">
        <v>40000</v>
      </c>
      <c r="G706" s="3" t="str">
        <f t="shared" si="52"/>
        <v>Lower Class</v>
      </c>
      <c r="H706">
        <v>0</v>
      </c>
      <c r="I706" t="s">
        <v>15</v>
      </c>
      <c r="J706" t="s">
        <v>23</v>
      </c>
      <c r="K706" t="s">
        <v>17</v>
      </c>
      <c r="L706" t="str">
        <f t="shared" si="53"/>
        <v>Home Owner</v>
      </c>
      <c r="M706">
        <v>1</v>
      </c>
      <c r="N706" t="s">
        <v>24</v>
      </c>
      <c r="O706" t="s">
        <v>35</v>
      </c>
      <c r="P706">
        <v>42</v>
      </c>
      <c r="Q706" t="str">
        <f t="shared" si="54"/>
        <v>35 to 44 yrs</v>
      </c>
      <c r="R706" t="s">
        <v>17</v>
      </c>
    </row>
    <row r="707" spans="1:18">
      <c r="A707">
        <v>11199</v>
      </c>
      <c r="B707" t="s">
        <v>13</v>
      </c>
      <c r="C707" t="str">
        <f t="shared" ref="C707:C770" si="55">IF($B$2:$B$1001="M", "Married","Single")</f>
        <v>Married</v>
      </c>
      <c r="D707" t="s">
        <v>14</v>
      </c>
      <c r="E707" t="str">
        <f t="shared" ref="E707:E770" si="56">IF($D$2:$D$1001="F", "Female", "Male")</f>
        <v>Female</v>
      </c>
      <c r="F707" s="3">
        <v>70000</v>
      </c>
      <c r="G707" s="3" t="str">
        <f t="shared" ref="G707:G770" si="57">_xlfn.IFS(F707&lt;=57375,"Lower Class",F707&lt;=114750,"Middle Class",F707&lt;=253414,"Upper Middle Class",TRUE,"Upper Class")</f>
        <v>Middle Class</v>
      </c>
      <c r="H707">
        <v>4</v>
      </c>
      <c r="I707" t="s">
        <v>15</v>
      </c>
      <c r="J707" t="s">
        <v>31</v>
      </c>
      <c r="K707" t="s">
        <v>17</v>
      </c>
      <c r="L707" t="str">
        <f t="shared" ref="L707:L770" si="58">IF($K$2:$K$1001="Yes", "Home Owner","Tenant")</f>
        <v>Home Owner</v>
      </c>
      <c r="M707">
        <v>1</v>
      </c>
      <c r="N707" t="s">
        <v>33</v>
      </c>
      <c r="O707" t="s">
        <v>35</v>
      </c>
      <c r="P707">
        <v>59</v>
      </c>
      <c r="Q707" t="str">
        <f t="shared" ref="Q707:Q770" si="59">_xlfn.IFS(P707&lt;25,"Less than 25 yrs",P707&lt;35,"25 to 34 yrs",P707&lt;45,"35 to 44 yrs",P707&lt;55,"45 to 54 yrs",P707&lt;65,"55 to 64 yrs", TRUE, "65 yrs &amp; Above")</f>
        <v>55 to 64 yrs</v>
      </c>
      <c r="R707" t="s">
        <v>20</v>
      </c>
    </row>
    <row r="708" spans="1:18">
      <c r="A708">
        <v>20296</v>
      </c>
      <c r="B708" t="s">
        <v>25</v>
      </c>
      <c r="C708" t="str">
        <f t="shared" si="55"/>
        <v>Single</v>
      </c>
      <c r="D708" t="s">
        <v>14</v>
      </c>
      <c r="E708" t="str">
        <f t="shared" si="56"/>
        <v>Female</v>
      </c>
      <c r="F708" s="3">
        <v>60000</v>
      </c>
      <c r="G708" s="3" t="str">
        <f t="shared" si="57"/>
        <v>Middle Class</v>
      </c>
      <c r="H708">
        <v>0</v>
      </c>
      <c r="I708" t="s">
        <v>21</v>
      </c>
      <c r="J708" t="s">
        <v>16</v>
      </c>
      <c r="K708" t="s">
        <v>20</v>
      </c>
      <c r="L708" t="str">
        <f t="shared" si="58"/>
        <v>Tenant</v>
      </c>
      <c r="M708">
        <v>1</v>
      </c>
      <c r="N708" t="s">
        <v>29</v>
      </c>
      <c r="O708" t="s">
        <v>35</v>
      </c>
      <c r="P708">
        <v>33</v>
      </c>
      <c r="Q708" t="str">
        <f t="shared" si="59"/>
        <v>25 to 34 yrs</v>
      </c>
      <c r="R708" t="s">
        <v>17</v>
      </c>
    </row>
    <row r="709" spans="1:18">
      <c r="A709">
        <v>17546</v>
      </c>
      <c r="B709" t="s">
        <v>13</v>
      </c>
      <c r="C709" t="str">
        <f t="shared" si="55"/>
        <v>Married</v>
      </c>
      <c r="D709" t="s">
        <v>14</v>
      </c>
      <c r="E709" t="str">
        <f t="shared" si="56"/>
        <v>Female</v>
      </c>
      <c r="F709" s="3">
        <v>70000</v>
      </c>
      <c r="G709" s="3" t="str">
        <f t="shared" si="57"/>
        <v>Middle Class</v>
      </c>
      <c r="H709">
        <v>1</v>
      </c>
      <c r="I709" t="s">
        <v>21</v>
      </c>
      <c r="J709" t="s">
        <v>16</v>
      </c>
      <c r="K709" t="s">
        <v>17</v>
      </c>
      <c r="L709" t="str">
        <f t="shared" si="58"/>
        <v>Home Owner</v>
      </c>
      <c r="M709">
        <v>1</v>
      </c>
      <c r="N709" t="s">
        <v>18</v>
      </c>
      <c r="O709" t="s">
        <v>35</v>
      </c>
      <c r="P709">
        <v>44</v>
      </c>
      <c r="Q709" t="str">
        <f t="shared" si="59"/>
        <v>35 to 44 yrs</v>
      </c>
      <c r="R709" t="s">
        <v>17</v>
      </c>
    </row>
    <row r="710" spans="1:18">
      <c r="A710">
        <v>18069</v>
      </c>
      <c r="B710" t="s">
        <v>13</v>
      </c>
      <c r="C710" t="str">
        <f t="shared" si="55"/>
        <v>Married</v>
      </c>
      <c r="D710" t="s">
        <v>13</v>
      </c>
      <c r="E710" t="str">
        <f t="shared" si="56"/>
        <v>Male</v>
      </c>
      <c r="F710" s="3">
        <v>70000</v>
      </c>
      <c r="G710" s="3" t="str">
        <f t="shared" si="57"/>
        <v>Middle Class</v>
      </c>
      <c r="H710">
        <v>5</v>
      </c>
      <c r="I710" t="s">
        <v>15</v>
      </c>
      <c r="J710" t="s">
        <v>31</v>
      </c>
      <c r="K710" t="s">
        <v>17</v>
      </c>
      <c r="L710" t="str">
        <f t="shared" si="58"/>
        <v>Home Owner</v>
      </c>
      <c r="M710">
        <v>4</v>
      </c>
      <c r="N710" t="s">
        <v>33</v>
      </c>
      <c r="O710" t="s">
        <v>35</v>
      </c>
      <c r="P710">
        <v>60</v>
      </c>
      <c r="Q710" t="str">
        <f t="shared" si="59"/>
        <v>55 to 64 yrs</v>
      </c>
      <c r="R710" t="s">
        <v>20</v>
      </c>
    </row>
    <row r="711" spans="1:18">
      <c r="A711">
        <v>23712</v>
      </c>
      <c r="B711" t="s">
        <v>25</v>
      </c>
      <c r="C711" t="str">
        <f t="shared" si="55"/>
        <v>Single</v>
      </c>
      <c r="D711" t="s">
        <v>14</v>
      </c>
      <c r="E711" t="str">
        <f t="shared" si="56"/>
        <v>Female</v>
      </c>
      <c r="F711" s="3">
        <v>70000</v>
      </c>
      <c r="G711" s="3" t="str">
        <f t="shared" si="57"/>
        <v>Middle Class</v>
      </c>
      <c r="H711">
        <v>2</v>
      </c>
      <c r="I711" t="s">
        <v>15</v>
      </c>
      <c r="J711" t="s">
        <v>31</v>
      </c>
      <c r="K711" t="s">
        <v>17</v>
      </c>
      <c r="L711" t="str">
        <f t="shared" si="58"/>
        <v>Home Owner</v>
      </c>
      <c r="M711">
        <v>1</v>
      </c>
      <c r="N711" t="s">
        <v>33</v>
      </c>
      <c r="O711" t="s">
        <v>35</v>
      </c>
      <c r="P711">
        <v>59</v>
      </c>
      <c r="Q711" t="str">
        <f t="shared" si="59"/>
        <v>55 to 64 yrs</v>
      </c>
      <c r="R711" t="s">
        <v>20</v>
      </c>
    </row>
    <row r="712" spans="1:18">
      <c r="A712">
        <v>23358</v>
      </c>
      <c r="B712" t="s">
        <v>13</v>
      </c>
      <c r="C712" t="str">
        <f t="shared" si="55"/>
        <v>Married</v>
      </c>
      <c r="D712" t="s">
        <v>13</v>
      </c>
      <c r="E712" t="str">
        <f t="shared" si="56"/>
        <v>Male</v>
      </c>
      <c r="F712" s="3">
        <v>60000</v>
      </c>
      <c r="G712" s="3" t="str">
        <f t="shared" si="57"/>
        <v>Middle Class</v>
      </c>
      <c r="H712">
        <v>0</v>
      </c>
      <c r="I712" t="s">
        <v>30</v>
      </c>
      <c r="J712" t="s">
        <v>23</v>
      </c>
      <c r="K712" t="s">
        <v>17</v>
      </c>
      <c r="L712" t="str">
        <f t="shared" si="58"/>
        <v>Home Owner</v>
      </c>
      <c r="M712">
        <v>2</v>
      </c>
      <c r="N712" t="s">
        <v>26</v>
      </c>
      <c r="O712" t="s">
        <v>35</v>
      </c>
      <c r="P712">
        <v>32</v>
      </c>
      <c r="Q712" t="str">
        <f t="shared" si="59"/>
        <v>25 to 34 yrs</v>
      </c>
      <c r="R712" t="s">
        <v>17</v>
      </c>
    </row>
    <row r="713" spans="1:18">
      <c r="A713">
        <v>20518</v>
      </c>
      <c r="B713" t="s">
        <v>13</v>
      </c>
      <c r="C713" t="str">
        <f t="shared" si="55"/>
        <v>Married</v>
      </c>
      <c r="D713" t="s">
        <v>14</v>
      </c>
      <c r="E713" t="str">
        <f t="shared" si="56"/>
        <v>Female</v>
      </c>
      <c r="F713" s="3">
        <v>70000</v>
      </c>
      <c r="G713" s="3" t="str">
        <f t="shared" si="57"/>
        <v>Middle Class</v>
      </c>
      <c r="H713">
        <v>2</v>
      </c>
      <c r="I713" t="s">
        <v>21</v>
      </c>
      <c r="J713" t="s">
        <v>23</v>
      </c>
      <c r="K713" t="s">
        <v>17</v>
      </c>
      <c r="L713" t="str">
        <f t="shared" si="58"/>
        <v>Home Owner</v>
      </c>
      <c r="M713">
        <v>1</v>
      </c>
      <c r="N713" t="s">
        <v>33</v>
      </c>
      <c r="O713" t="s">
        <v>35</v>
      </c>
      <c r="P713">
        <v>58</v>
      </c>
      <c r="Q713" t="str">
        <f t="shared" si="59"/>
        <v>55 to 64 yrs</v>
      </c>
      <c r="R713" t="s">
        <v>20</v>
      </c>
    </row>
    <row r="714" spans="1:18">
      <c r="A714">
        <v>28026</v>
      </c>
      <c r="B714" t="s">
        <v>13</v>
      </c>
      <c r="C714" t="str">
        <f t="shared" si="55"/>
        <v>Married</v>
      </c>
      <c r="D714" t="s">
        <v>14</v>
      </c>
      <c r="E714" t="str">
        <f t="shared" si="56"/>
        <v>Female</v>
      </c>
      <c r="F714" s="3">
        <v>40000</v>
      </c>
      <c r="G714" s="3" t="str">
        <f t="shared" si="57"/>
        <v>Lower Class</v>
      </c>
      <c r="H714">
        <v>2</v>
      </c>
      <c r="I714" t="s">
        <v>30</v>
      </c>
      <c r="J714" t="s">
        <v>23</v>
      </c>
      <c r="K714" t="s">
        <v>20</v>
      </c>
      <c r="L714" t="str">
        <f t="shared" si="58"/>
        <v>Tenant</v>
      </c>
      <c r="M714">
        <v>2</v>
      </c>
      <c r="N714" t="s">
        <v>24</v>
      </c>
      <c r="O714" t="s">
        <v>35</v>
      </c>
      <c r="P714">
        <v>59</v>
      </c>
      <c r="Q714" t="str">
        <f t="shared" si="59"/>
        <v>55 to 64 yrs</v>
      </c>
      <c r="R714" t="s">
        <v>20</v>
      </c>
    </row>
    <row r="715" spans="1:18">
      <c r="A715">
        <v>11669</v>
      </c>
      <c r="B715" t="s">
        <v>25</v>
      </c>
      <c r="C715" t="str">
        <f t="shared" si="55"/>
        <v>Single</v>
      </c>
      <c r="D715" t="s">
        <v>14</v>
      </c>
      <c r="E715" t="str">
        <f t="shared" si="56"/>
        <v>Female</v>
      </c>
      <c r="F715" s="3">
        <v>70000</v>
      </c>
      <c r="G715" s="3" t="str">
        <f t="shared" si="57"/>
        <v>Middle Class</v>
      </c>
      <c r="H715">
        <v>2</v>
      </c>
      <c r="I715" t="s">
        <v>15</v>
      </c>
      <c r="J715" t="s">
        <v>16</v>
      </c>
      <c r="K715" t="s">
        <v>17</v>
      </c>
      <c r="L715" t="str">
        <f t="shared" si="58"/>
        <v>Home Owner</v>
      </c>
      <c r="M715">
        <v>1</v>
      </c>
      <c r="N715" t="s">
        <v>24</v>
      </c>
      <c r="O715" t="s">
        <v>35</v>
      </c>
      <c r="P715">
        <v>38</v>
      </c>
      <c r="Q715" t="str">
        <f t="shared" si="59"/>
        <v>35 to 44 yrs</v>
      </c>
      <c r="R715" t="s">
        <v>20</v>
      </c>
    </row>
    <row r="716" spans="1:18">
      <c r="A716">
        <v>16020</v>
      </c>
      <c r="B716" t="s">
        <v>13</v>
      </c>
      <c r="C716" t="str">
        <f t="shared" si="55"/>
        <v>Married</v>
      </c>
      <c r="D716" t="s">
        <v>13</v>
      </c>
      <c r="E716" t="str">
        <f t="shared" si="56"/>
        <v>Male</v>
      </c>
      <c r="F716" s="3">
        <v>40000</v>
      </c>
      <c r="G716" s="3" t="str">
        <f t="shared" si="57"/>
        <v>Lower Class</v>
      </c>
      <c r="H716">
        <v>0</v>
      </c>
      <c r="I716" t="s">
        <v>30</v>
      </c>
      <c r="J716" t="s">
        <v>16</v>
      </c>
      <c r="K716" t="s">
        <v>17</v>
      </c>
      <c r="L716" t="str">
        <f t="shared" si="58"/>
        <v>Home Owner</v>
      </c>
      <c r="M716">
        <v>2</v>
      </c>
      <c r="N716" t="s">
        <v>26</v>
      </c>
      <c r="O716" t="s">
        <v>35</v>
      </c>
      <c r="P716">
        <v>28</v>
      </c>
      <c r="Q716" t="str">
        <f t="shared" si="59"/>
        <v>25 to 34 yrs</v>
      </c>
      <c r="R716" t="s">
        <v>17</v>
      </c>
    </row>
    <row r="717" spans="1:18">
      <c r="A717">
        <v>27090</v>
      </c>
      <c r="B717" t="s">
        <v>13</v>
      </c>
      <c r="C717" t="str">
        <f t="shared" si="55"/>
        <v>Married</v>
      </c>
      <c r="D717" t="s">
        <v>14</v>
      </c>
      <c r="E717" t="str">
        <f t="shared" si="56"/>
        <v>Female</v>
      </c>
      <c r="F717" s="3">
        <v>60000</v>
      </c>
      <c r="G717" s="3" t="str">
        <f t="shared" si="57"/>
        <v>Middle Class</v>
      </c>
      <c r="H717">
        <v>1</v>
      </c>
      <c r="I717" t="s">
        <v>34</v>
      </c>
      <c r="J717" t="s">
        <v>23</v>
      </c>
      <c r="K717" t="s">
        <v>17</v>
      </c>
      <c r="L717" t="str">
        <f t="shared" si="58"/>
        <v>Home Owner</v>
      </c>
      <c r="M717">
        <v>0</v>
      </c>
      <c r="N717" t="s">
        <v>24</v>
      </c>
      <c r="O717" t="s">
        <v>35</v>
      </c>
      <c r="P717">
        <v>37</v>
      </c>
      <c r="Q717" t="str">
        <f t="shared" si="59"/>
        <v>35 to 44 yrs</v>
      </c>
      <c r="R717" t="s">
        <v>17</v>
      </c>
    </row>
    <row r="718" spans="1:18">
      <c r="A718">
        <v>27198</v>
      </c>
      <c r="B718" t="s">
        <v>25</v>
      </c>
      <c r="C718" t="str">
        <f t="shared" si="55"/>
        <v>Single</v>
      </c>
      <c r="D718" t="s">
        <v>14</v>
      </c>
      <c r="E718" t="str">
        <f t="shared" si="56"/>
        <v>Female</v>
      </c>
      <c r="F718" s="3">
        <v>80000</v>
      </c>
      <c r="G718" s="3" t="str">
        <f t="shared" si="57"/>
        <v>Middle Class</v>
      </c>
      <c r="H718">
        <v>0</v>
      </c>
      <c r="I718" t="s">
        <v>34</v>
      </c>
      <c r="J718" t="s">
        <v>16</v>
      </c>
      <c r="K718" t="s">
        <v>20</v>
      </c>
      <c r="L718" t="str">
        <f t="shared" si="58"/>
        <v>Tenant</v>
      </c>
      <c r="M718">
        <v>0</v>
      </c>
      <c r="N718" t="s">
        <v>18</v>
      </c>
      <c r="O718" t="s">
        <v>35</v>
      </c>
      <c r="P718">
        <v>40</v>
      </c>
      <c r="Q718" t="str">
        <f t="shared" si="59"/>
        <v>35 to 44 yrs</v>
      </c>
      <c r="R718" t="s">
        <v>20</v>
      </c>
    </row>
    <row r="719" spans="1:18">
      <c r="A719">
        <v>19661</v>
      </c>
      <c r="B719" t="s">
        <v>25</v>
      </c>
      <c r="C719" t="str">
        <f t="shared" si="55"/>
        <v>Single</v>
      </c>
      <c r="D719" t="s">
        <v>13</v>
      </c>
      <c r="E719" t="str">
        <f t="shared" si="56"/>
        <v>Male</v>
      </c>
      <c r="F719" s="3">
        <v>90000</v>
      </c>
      <c r="G719" s="3" t="str">
        <f t="shared" si="57"/>
        <v>Middle Class</v>
      </c>
      <c r="H719">
        <v>4</v>
      </c>
      <c r="I719" t="s">
        <v>15</v>
      </c>
      <c r="J719" t="s">
        <v>31</v>
      </c>
      <c r="K719" t="s">
        <v>17</v>
      </c>
      <c r="L719" t="str">
        <f t="shared" si="58"/>
        <v>Home Owner</v>
      </c>
      <c r="M719">
        <v>1</v>
      </c>
      <c r="N719" t="s">
        <v>29</v>
      </c>
      <c r="O719" t="s">
        <v>35</v>
      </c>
      <c r="P719">
        <v>38</v>
      </c>
      <c r="Q719" t="str">
        <f t="shared" si="59"/>
        <v>35 to 44 yrs</v>
      </c>
      <c r="R719" t="s">
        <v>17</v>
      </c>
    </row>
    <row r="720" spans="1:18">
      <c r="A720">
        <v>26327</v>
      </c>
      <c r="B720" t="s">
        <v>13</v>
      </c>
      <c r="C720" t="str">
        <f t="shared" si="55"/>
        <v>Married</v>
      </c>
      <c r="D720" t="s">
        <v>13</v>
      </c>
      <c r="E720" t="str">
        <f t="shared" si="56"/>
        <v>Male</v>
      </c>
      <c r="F720" s="3">
        <v>70000</v>
      </c>
      <c r="G720" s="3" t="str">
        <f t="shared" si="57"/>
        <v>Middle Class</v>
      </c>
      <c r="H720">
        <v>4</v>
      </c>
      <c r="I720" t="s">
        <v>34</v>
      </c>
      <c r="J720" t="s">
        <v>23</v>
      </c>
      <c r="K720" t="s">
        <v>17</v>
      </c>
      <c r="L720" t="str">
        <f t="shared" si="58"/>
        <v>Home Owner</v>
      </c>
      <c r="M720">
        <v>0</v>
      </c>
      <c r="N720" t="s">
        <v>24</v>
      </c>
      <c r="O720" t="s">
        <v>35</v>
      </c>
      <c r="P720">
        <v>36</v>
      </c>
      <c r="Q720" t="str">
        <f t="shared" si="59"/>
        <v>35 to 44 yrs</v>
      </c>
      <c r="R720" t="s">
        <v>17</v>
      </c>
    </row>
    <row r="721" spans="1:18">
      <c r="A721">
        <v>26341</v>
      </c>
      <c r="B721" t="s">
        <v>13</v>
      </c>
      <c r="C721" t="str">
        <f t="shared" si="55"/>
        <v>Married</v>
      </c>
      <c r="D721" t="s">
        <v>14</v>
      </c>
      <c r="E721" t="str">
        <f t="shared" si="56"/>
        <v>Female</v>
      </c>
      <c r="F721" s="3">
        <v>70000</v>
      </c>
      <c r="G721" s="3" t="str">
        <f t="shared" si="57"/>
        <v>Middle Class</v>
      </c>
      <c r="H721">
        <v>5</v>
      </c>
      <c r="I721" t="s">
        <v>34</v>
      </c>
      <c r="J721" t="s">
        <v>23</v>
      </c>
      <c r="K721" t="s">
        <v>17</v>
      </c>
      <c r="L721" t="str">
        <f t="shared" si="58"/>
        <v>Home Owner</v>
      </c>
      <c r="M721">
        <v>2</v>
      </c>
      <c r="N721" t="s">
        <v>18</v>
      </c>
      <c r="O721" t="s">
        <v>35</v>
      </c>
      <c r="P721">
        <v>37</v>
      </c>
      <c r="Q721" t="str">
        <f t="shared" si="59"/>
        <v>35 to 44 yrs</v>
      </c>
      <c r="R721" t="s">
        <v>20</v>
      </c>
    </row>
    <row r="722" spans="1:18">
      <c r="A722">
        <v>24958</v>
      </c>
      <c r="B722" t="s">
        <v>25</v>
      </c>
      <c r="C722" t="str">
        <f t="shared" si="55"/>
        <v>Single</v>
      </c>
      <c r="D722" t="s">
        <v>14</v>
      </c>
      <c r="E722" t="str">
        <f t="shared" si="56"/>
        <v>Female</v>
      </c>
      <c r="F722" s="3">
        <v>40000</v>
      </c>
      <c r="G722" s="3" t="str">
        <f t="shared" si="57"/>
        <v>Lower Class</v>
      </c>
      <c r="H722">
        <v>5</v>
      </c>
      <c r="I722" t="s">
        <v>30</v>
      </c>
      <c r="J722" t="s">
        <v>23</v>
      </c>
      <c r="K722" t="s">
        <v>20</v>
      </c>
      <c r="L722" t="str">
        <f t="shared" si="58"/>
        <v>Tenant</v>
      </c>
      <c r="M722">
        <v>3</v>
      </c>
      <c r="N722" t="s">
        <v>24</v>
      </c>
      <c r="O722" t="s">
        <v>35</v>
      </c>
      <c r="P722">
        <v>60</v>
      </c>
      <c r="Q722" t="str">
        <f t="shared" si="59"/>
        <v>55 to 64 yrs</v>
      </c>
      <c r="R722" t="s">
        <v>17</v>
      </c>
    </row>
    <row r="723" spans="1:18">
      <c r="A723">
        <v>13287</v>
      </c>
      <c r="B723" t="s">
        <v>25</v>
      </c>
      <c r="C723" t="str">
        <f t="shared" si="55"/>
        <v>Single</v>
      </c>
      <c r="D723" t="s">
        <v>13</v>
      </c>
      <c r="E723" t="str">
        <f t="shared" si="56"/>
        <v>Male</v>
      </c>
      <c r="F723" s="3">
        <v>110000</v>
      </c>
      <c r="G723" s="3" t="str">
        <f t="shared" si="57"/>
        <v>Middle Class</v>
      </c>
      <c r="H723">
        <v>4</v>
      </c>
      <c r="I723" t="s">
        <v>15</v>
      </c>
      <c r="J723" t="s">
        <v>31</v>
      </c>
      <c r="K723" t="s">
        <v>17</v>
      </c>
      <c r="L723" t="str">
        <f t="shared" si="58"/>
        <v>Home Owner</v>
      </c>
      <c r="M723">
        <v>4</v>
      </c>
      <c r="N723" t="s">
        <v>26</v>
      </c>
      <c r="O723" t="s">
        <v>35</v>
      </c>
      <c r="P723">
        <v>42</v>
      </c>
      <c r="Q723" t="str">
        <f t="shared" si="59"/>
        <v>35 to 44 yrs</v>
      </c>
      <c r="R723" t="s">
        <v>17</v>
      </c>
    </row>
    <row r="724" spans="1:18">
      <c r="A724">
        <v>14493</v>
      </c>
      <c r="B724" t="s">
        <v>25</v>
      </c>
      <c r="C724" t="str">
        <f t="shared" si="55"/>
        <v>Single</v>
      </c>
      <c r="D724" t="s">
        <v>14</v>
      </c>
      <c r="E724" t="str">
        <f t="shared" si="56"/>
        <v>Female</v>
      </c>
      <c r="F724" s="3">
        <v>70000</v>
      </c>
      <c r="G724" s="3" t="str">
        <f t="shared" si="57"/>
        <v>Middle Class</v>
      </c>
      <c r="H724">
        <v>3</v>
      </c>
      <c r="I724" t="s">
        <v>34</v>
      </c>
      <c r="J724" t="s">
        <v>31</v>
      </c>
      <c r="K724" t="s">
        <v>20</v>
      </c>
      <c r="L724" t="str">
        <f t="shared" si="58"/>
        <v>Tenant</v>
      </c>
      <c r="M724">
        <v>2</v>
      </c>
      <c r="N724" t="s">
        <v>29</v>
      </c>
      <c r="O724" t="s">
        <v>35</v>
      </c>
      <c r="P724">
        <v>53</v>
      </c>
      <c r="Q724" t="str">
        <f t="shared" si="59"/>
        <v>45 to 54 yrs</v>
      </c>
      <c r="R724" t="s">
        <v>20</v>
      </c>
    </row>
    <row r="725" spans="1:18">
      <c r="A725">
        <v>26678</v>
      </c>
      <c r="B725" t="s">
        <v>25</v>
      </c>
      <c r="C725" t="str">
        <f t="shared" si="55"/>
        <v>Single</v>
      </c>
      <c r="D725" t="s">
        <v>14</v>
      </c>
      <c r="E725" t="str">
        <f t="shared" si="56"/>
        <v>Female</v>
      </c>
      <c r="F725" s="3">
        <v>80000</v>
      </c>
      <c r="G725" s="3" t="str">
        <f t="shared" si="57"/>
        <v>Middle Class</v>
      </c>
      <c r="H725">
        <v>2</v>
      </c>
      <c r="I725" t="s">
        <v>32</v>
      </c>
      <c r="J725" t="s">
        <v>16</v>
      </c>
      <c r="K725" t="s">
        <v>17</v>
      </c>
      <c r="L725" t="str">
        <f t="shared" si="58"/>
        <v>Home Owner</v>
      </c>
      <c r="M725">
        <v>2</v>
      </c>
      <c r="N725" t="s">
        <v>26</v>
      </c>
      <c r="O725" t="s">
        <v>35</v>
      </c>
      <c r="P725">
        <v>49</v>
      </c>
      <c r="Q725" t="str">
        <f t="shared" si="59"/>
        <v>45 to 54 yrs</v>
      </c>
      <c r="R725" t="s">
        <v>20</v>
      </c>
    </row>
    <row r="726" spans="1:18">
      <c r="A726">
        <v>23275</v>
      </c>
      <c r="B726" t="s">
        <v>13</v>
      </c>
      <c r="C726" t="str">
        <f t="shared" si="55"/>
        <v>Married</v>
      </c>
      <c r="D726" t="s">
        <v>13</v>
      </c>
      <c r="E726" t="str">
        <f t="shared" si="56"/>
        <v>Male</v>
      </c>
      <c r="F726" s="3">
        <v>30000</v>
      </c>
      <c r="G726" s="3" t="str">
        <f t="shared" si="57"/>
        <v>Lower Class</v>
      </c>
      <c r="H726">
        <v>2</v>
      </c>
      <c r="I726" t="s">
        <v>30</v>
      </c>
      <c r="J726" t="s">
        <v>16</v>
      </c>
      <c r="K726" t="s">
        <v>17</v>
      </c>
      <c r="L726" t="str">
        <f t="shared" si="58"/>
        <v>Home Owner</v>
      </c>
      <c r="M726">
        <v>2</v>
      </c>
      <c r="N726" t="s">
        <v>29</v>
      </c>
      <c r="O726" t="s">
        <v>35</v>
      </c>
      <c r="P726">
        <v>49</v>
      </c>
      <c r="Q726" t="str">
        <f t="shared" si="59"/>
        <v>45 to 54 yrs</v>
      </c>
      <c r="R726" t="s">
        <v>20</v>
      </c>
    </row>
    <row r="727" spans="1:18">
      <c r="A727">
        <v>11270</v>
      </c>
      <c r="B727" t="s">
        <v>13</v>
      </c>
      <c r="C727" t="str">
        <f t="shared" si="55"/>
        <v>Married</v>
      </c>
      <c r="D727" t="s">
        <v>13</v>
      </c>
      <c r="E727" t="str">
        <f t="shared" si="56"/>
        <v>Male</v>
      </c>
      <c r="F727" s="3">
        <v>130000</v>
      </c>
      <c r="G727" s="3" t="str">
        <f t="shared" si="57"/>
        <v>Upper Middle Class</v>
      </c>
      <c r="H727">
        <v>2</v>
      </c>
      <c r="I727" t="s">
        <v>34</v>
      </c>
      <c r="J727" t="s">
        <v>31</v>
      </c>
      <c r="K727" t="s">
        <v>17</v>
      </c>
      <c r="L727" t="str">
        <f t="shared" si="58"/>
        <v>Home Owner</v>
      </c>
      <c r="M727">
        <v>3</v>
      </c>
      <c r="N727" t="s">
        <v>18</v>
      </c>
      <c r="O727" t="s">
        <v>35</v>
      </c>
      <c r="P727">
        <v>42</v>
      </c>
      <c r="Q727" t="str">
        <f t="shared" si="59"/>
        <v>35 to 44 yrs</v>
      </c>
      <c r="R727" t="s">
        <v>17</v>
      </c>
    </row>
    <row r="728" spans="1:18">
      <c r="A728">
        <v>20084</v>
      </c>
      <c r="B728" t="s">
        <v>13</v>
      </c>
      <c r="C728" t="str">
        <f t="shared" si="55"/>
        <v>Married</v>
      </c>
      <c r="D728" t="s">
        <v>13</v>
      </c>
      <c r="E728" t="str">
        <f t="shared" si="56"/>
        <v>Male</v>
      </c>
      <c r="F728" s="3">
        <v>20000</v>
      </c>
      <c r="G728" s="3" t="str">
        <f t="shared" si="57"/>
        <v>Lower Class</v>
      </c>
      <c r="H728">
        <v>2</v>
      </c>
      <c r="I728" t="s">
        <v>30</v>
      </c>
      <c r="J728" t="s">
        <v>28</v>
      </c>
      <c r="K728" t="s">
        <v>20</v>
      </c>
      <c r="L728" t="str">
        <f t="shared" si="58"/>
        <v>Tenant</v>
      </c>
      <c r="M728">
        <v>2</v>
      </c>
      <c r="N728" t="s">
        <v>18</v>
      </c>
      <c r="O728" t="s">
        <v>35</v>
      </c>
      <c r="P728">
        <v>53</v>
      </c>
      <c r="Q728" t="str">
        <f t="shared" si="59"/>
        <v>45 to 54 yrs</v>
      </c>
      <c r="R728" t="s">
        <v>20</v>
      </c>
    </row>
    <row r="729" spans="1:18">
      <c r="A729">
        <v>16144</v>
      </c>
      <c r="B729" t="s">
        <v>13</v>
      </c>
      <c r="C729" t="str">
        <f t="shared" si="55"/>
        <v>Married</v>
      </c>
      <c r="D729" t="s">
        <v>13</v>
      </c>
      <c r="E729" t="str">
        <f t="shared" si="56"/>
        <v>Male</v>
      </c>
      <c r="F729" s="3">
        <v>70000</v>
      </c>
      <c r="G729" s="3" t="str">
        <f t="shared" si="57"/>
        <v>Middle Class</v>
      </c>
      <c r="H729">
        <v>1</v>
      </c>
      <c r="I729" t="s">
        <v>34</v>
      </c>
      <c r="J729" t="s">
        <v>23</v>
      </c>
      <c r="K729" t="s">
        <v>17</v>
      </c>
      <c r="L729" t="str">
        <f t="shared" si="58"/>
        <v>Home Owner</v>
      </c>
      <c r="M729">
        <v>1</v>
      </c>
      <c r="N729" t="s">
        <v>18</v>
      </c>
      <c r="O729" t="s">
        <v>35</v>
      </c>
      <c r="P729">
        <v>46</v>
      </c>
      <c r="Q729" t="str">
        <f t="shared" si="59"/>
        <v>45 to 54 yrs</v>
      </c>
      <c r="R729" t="s">
        <v>17</v>
      </c>
    </row>
    <row r="730" spans="1:18">
      <c r="A730">
        <v>27731</v>
      </c>
      <c r="B730" t="s">
        <v>13</v>
      </c>
      <c r="C730" t="str">
        <f t="shared" si="55"/>
        <v>Married</v>
      </c>
      <c r="D730" t="s">
        <v>13</v>
      </c>
      <c r="E730" t="str">
        <f t="shared" si="56"/>
        <v>Male</v>
      </c>
      <c r="F730" s="3">
        <v>40000</v>
      </c>
      <c r="G730" s="3" t="str">
        <f t="shared" si="57"/>
        <v>Lower Class</v>
      </c>
      <c r="H730">
        <v>0</v>
      </c>
      <c r="I730" t="s">
        <v>30</v>
      </c>
      <c r="J730" t="s">
        <v>16</v>
      </c>
      <c r="K730" t="s">
        <v>17</v>
      </c>
      <c r="L730" t="str">
        <f t="shared" si="58"/>
        <v>Home Owner</v>
      </c>
      <c r="M730">
        <v>2</v>
      </c>
      <c r="N730" t="s">
        <v>26</v>
      </c>
      <c r="O730" t="s">
        <v>35</v>
      </c>
      <c r="P730">
        <v>27</v>
      </c>
      <c r="Q730" t="str">
        <f t="shared" si="59"/>
        <v>25 to 34 yrs</v>
      </c>
      <c r="R730" t="s">
        <v>20</v>
      </c>
    </row>
    <row r="731" spans="1:18">
      <c r="A731">
        <v>11886</v>
      </c>
      <c r="B731" t="s">
        <v>13</v>
      </c>
      <c r="C731" t="str">
        <f t="shared" si="55"/>
        <v>Married</v>
      </c>
      <c r="D731" t="s">
        <v>14</v>
      </c>
      <c r="E731" t="str">
        <f t="shared" si="56"/>
        <v>Female</v>
      </c>
      <c r="F731" s="3">
        <v>60000</v>
      </c>
      <c r="G731" s="3" t="str">
        <f t="shared" si="57"/>
        <v>Middle Class</v>
      </c>
      <c r="H731">
        <v>3</v>
      </c>
      <c r="I731" t="s">
        <v>15</v>
      </c>
      <c r="J731" t="s">
        <v>23</v>
      </c>
      <c r="K731" t="s">
        <v>17</v>
      </c>
      <c r="L731" t="str">
        <f t="shared" si="58"/>
        <v>Home Owner</v>
      </c>
      <c r="M731">
        <v>1</v>
      </c>
      <c r="N731" t="s">
        <v>18</v>
      </c>
      <c r="O731" t="s">
        <v>35</v>
      </c>
      <c r="P731">
        <v>48</v>
      </c>
      <c r="Q731" t="str">
        <f t="shared" si="59"/>
        <v>45 to 54 yrs</v>
      </c>
      <c r="R731" t="s">
        <v>17</v>
      </c>
    </row>
    <row r="732" spans="1:18">
      <c r="A732">
        <v>24324</v>
      </c>
      <c r="B732" t="s">
        <v>25</v>
      </c>
      <c r="C732" t="str">
        <f t="shared" si="55"/>
        <v>Single</v>
      </c>
      <c r="D732" t="s">
        <v>14</v>
      </c>
      <c r="E732" t="str">
        <f t="shared" si="56"/>
        <v>Female</v>
      </c>
      <c r="F732" s="3">
        <v>60000</v>
      </c>
      <c r="G732" s="3" t="str">
        <f t="shared" si="57"/>
        <v>Middle Class</v>
      </c>
      <c r="H732">
        <v>4</v>
      </c>
      <c r="I732" t="s">
        <v>15</v>
      </c>
      <c r="J732" t="s">
        <v>16</v>
      </c>
      <c r="K732" t="s">
        <v>17</v>
      </c>
      <c r="L732" t="str">
        <f t="shared" si="58"/>
        <v>Home Owner</v>
      </c>
      <c r="M732">
        <v>2</v>
      </c>
      <c r="N732" t="s">
        <v>24</v>
      </c>
      <c r="O732" t="s">
        <v>35</v>
      </c>
      <c r="P732">
        <v>41</v>
      </c>
      <c r="Q732" t="str">
        <f t="shared" si="59"/>
        <v>35 to 44 yrs</v>
      </c>
      <c r="R732" t="s">
        <v>17</v>
      </c>
    </row>
    <row r="733" spans="1:18">
      <c r="A733">
        <v>22220</v>
      </c>
      <c r="B733" t="s">
        <v>13</v>
      </c>
      <c r="C733" t="str">
        <f t="shared" si="55"/>
        <v>Married</v>
      </c>
      <c r="D733" t="s">
        <v>13</v>
      </c>
      <c r="E733" t="str">
        <f t="shared" si="56"/>
        <v>Male</v>
      </c>
      <c r="F733" s="3">
        <v>60000</v>
      </c>
      <c r="G733" s="3" t="str">
        <f t="shared" si="57"/>
        <v>Middle Class</v>
      </c>
      <c r="H733">
        <v>2</v>
      </c>
      <c r="I733" t="s">
        <v>30</v>
      </c>
      <c r="J733" t="s">
        <v>23</v>
      </c>
      <c r="K733" t="s">
        <v>20</v>
      </c>
      <c r="L733" t="str">
        <f t="shared" si="58"/>
        <v>Tenant</v>
      </c>
      <c r="M733">
        <v>2</v>
      </c>
      <c r="N733" t="s">
        <v>29</v>
      </c>
      <c r="O733" t="s">
        <v>35</v>
      </c>
      <c r="P733">
        <v>49</v>
      </c>
      <c r="Q733" t="str">
        <f t="shared" si="59"/>
        <v>45 to 54 yrs</v>
      </c>
      <c r="R733" t="s">
        <v>17</v>
      </c>
    </row>
    <row r="734" spans="1:18">
      <c r="A734">
        <v>26625</v>
      </c>
      <c r="B734" t="s">
        <v>25</v>
      </c>
      <c r="C734" t="str">
        <f t="shared" si="55"/>
        <v>Single</v>
      </c>
      <c r="D734" t="s">
        <v>14</v>
      </c>
      <c r="E734" t="str">
        <f t="shared" si="56"/>
        <v>Female</v>
      </c>
      <c r="F734" s="3">
        <v>60000</v>
      </c>
      <c r="G734" s="3" t="str">
        <f t="shared" si="57"/>
        <v>Middle Class</v>
      </c>
      <c r="H734">
        <v>0</v>
      </c>
      <c r="I734" t="s">
        <v>34</v>
      </c>
      <c r="J734" t="s">
        <v>23</v>
      </c>
      <c r="K734" t="s">
        <v>17</v>
      </c>
      <c r="L734" t="str">
        <f t="shared" si="58"/>
        <v>Home Owner</v>
      </c>
      <c r="M734">
        <v>1</v>
      </c>
      <c r="N734" t="s">
        <v>24</v>
      </c>
      <c r="O734" t="s">
        <v>35</v>
      </c>
      <c r="P734">
        <v>38</v>
      </c>
      <c r="Q734" t="str">
        <f t="shared" si="59"/>
        <v>35 to 44 yrs</v>
      </c>
      <c r="R734" t="s">
        <v>17</v>
      </c>
    </row>
    <row r="735" spans="1:18">
      <c r="A735">
        <v>23027</v>
      </c>
      <c r="B735" t="s">
        <v>25</v>
      </c>
      <c r="C735" t="str">
        <f t="shared" si="55"/>
        <v>Single</v>
      </c>
      <c r="D735" t="s">
        <v>13</v>
      </c>
      <c r="E735" t="str">
        <f t="shared" si="56"/>
        <v>Male</v>
      </c>
      <c r="F735" s="3">
        <v>130000</v>
      </c>
      <c r="G735" s="3" t="str">
        <f t="shared" si="57"/>
        <v>Upper Middle Class</v>
      </c>
      <c r="H735">
        <v>1</v>
      </c>
      <c r="I735" t="s">
        <v>15</v>
      </c>
      <c r="J735" t="s">
        <v>31</v>
      </c>
      <c r="K735" t="s">
        <v>20</v>
      </c>
      <c r="L735" t="str">
        <f t="shared" si="58"/>
        <v>Tenant</v>
      </c>
      <c r="M735">
        <v>4</v>
      </c>
      <c r="N735" t="s">
        <v>18</v>
      </c>
      <c r="O735" t="s">
        <v>35</v>
      </c>
      <c r="P735">
        <v>44</v>
      </c>
      <c r="Q735" t="str">
        <f t="shared" si="59"/>
        <v>35 to 44 yrs</v>
      </c>
      <c r="R735" t="s">
        <v>20</v>
      </c>
    </row>
    <row r="736" spans="1:18">
      <c r="A736">
        <v>16867</v>
      </c>
      <c r="B736" t="s">
        <v>25</v>
      </c>
      <c r="C736" t="str">
        <f t="shared" si="55"/>
        <v>Single</v>
      </c>
      <c r="D736" t="s">
        <v>14</v>
      </c>
      <c r="E736" t="str">
        <f t="shared" si="56"/>
        <v>Female</v>
      </c>
      <c r="F736" s="3">
        <v>130000</v>
      </c>
      <c r="G736" s="3" t="str">
        <f t="shared" si="57"/>
        <v>Upper Middle Class</v>
      </c>
      <c r="H736">
        <v>1</v>
      </c>
      <c r="I736" t="s">
        <v>15</v>
      </c>
      <c r="J736" t="s">
        <v>31</v>
      </c>
      <c r="K736" t="s">
        <v>20</v>
      </c>
      <c r="L736" t="str">
        <f t="shared" si="58"/>
        <v>Tenant</v>
      </c>
      <c r="M736">
        <v>3</v>
      </c>
      <c r="N736" t="s">
        <v>18</v>
      </c>
      <c r="O736" t="s">
        <v>35</v>
      </c>
      <c r="P736">
        <v>45</v>
      </c>
      <c r="Q736" t="str">
        <f t="shared" si="59"/>
        <v>45 to 54 yrs</v>
      </c>
      <c r="R736" t="s">
        <v>17</v>
      </c>
    </row>
    <row r="737" spans="1:18">
      <c r="A737">
        <v>14514</v>
      </c>
      <c r="B737" t="s">
        <v>25</v>
      </c>
      <c r="C737" t="str">
        <f t="shared" si="55"/>
        <v>Single</v>
      </c>
      <c r="D737" t="s">
        <v>14</v>
      </c>
      <c r="E737" t="str">
        <f t="shared" si="56"/>
        <v>Female</v>
      </c>
      <c r="F737" s="3">
        <v>30000</v>
      </c>
      <c r="G737" s="3" t="str">
        <f t="shared" si="57"/>
        <v>Lower Class</v>
      </c>
      <c r="H737">
        <v>0</v>
      </c>
      <c r="I737" t="s">
        <v>21</v>
      </c>
      <c r="J737" t="s">
        <v>16</v>
      </c>
      <c r="K737" t="s">
        <v>17</v>
      </c>
      <c r="L737" t="str">
        <f t="shared" si="58"/>
        <v>Home Owner</v>
      </c>
      <c r="M737">
        <v>1</v>
      </c>
      <c r="N737" t="s">
        <v>26</v>
      </c>
      <c r="O737" t="s">
        <v>35</v>
      </c>
      <c r="P737">
        <v>26</v>
      </c>
      <c r="Q737" t="str">
        <f t="shared" si="59"/>
        <v>25 to 34 yrs</v>
      </c>
      <c r="R737" t="s">
        <v>20</v>
      </c>
    </row>
    <row r="738" spans="1:18">
      <c r="A738">
        <v>19634</v>
      </c>
      <c r="B738" t="s">
        <v>13</v>
      </c>
      <c r="C738" t="str">
        <f t="shared" si="55"/>
        <v>Married</v>
      </c>
      <c r="D738" t="s">
        <v>13</v>
      </c>
      <c r="E738" t="str">
        <f t="shared" si="56"/>
        <v>Male</v>
      </c>
      <c r="F738" s="3">
        <v>40000</v>
      </c>
      <c r="G738" s="3" t="str">
        <f t="shared" si="57"/>
        <v>Lower Class</v>
      </c>
      <c r="H738">
        <v>0</v>
      </c>
      <c r="I738" t="s">
        <v>30</v>
      </c>
      <c r="J738" t="s">
        <v>16</v>
      </c>
      <c r="K738" t="s">
        <v>17</v>
      </c>
      <c r="L738" t="str">
        <f t="shared" si="58"/>
        <v>Home Owner</v>
      </c>
      <c r="M738">
        <v>1</v>
      </c>
      <c r="N738" t="s">
        <v>26</v>
      </c>
      <c r="O738" t="s">
        <v>35</v>
      </c>
      <c r="P738">
        <v>31</v>
      </c>
      <c r="Q738" t="str">
        <f t="shared" si="59"/>
        <v>25 to 34 yrs</v>
      </c>
      <c r="R738" t="s">
        <v>20</v>
      </c>
    </row>
    <row r="739" spans="1:18">
      <c r="A739">
        <v>18504</v>
      </c>
      <c r="B739" t="s">
        <v>13</v>
      </c>
      <c r="C739" t="str">
        <f t="shared" si="55"/>
        <v>Married</v>
      </c>
      <c r="D739" t="s">
        <v>13</v>
      </c>
      <c r="E739" t="str">
        <f t="shared" si="56"/>
        <v>Male</v>
      </c>
      <c r="F739" s="3">
        <v>70000</v>
      </c>
      <c r="G739" s="3" t="str">
        <f t="shared" si="57"/>
        <v>Middle Class</v>
      </c>
      <c r="H739">
        <v>2</v>
      </c>
      <c r="I739" t="s">
        <v>32</v>
      </c>
      <c r="J739" t="s">
        <v>16</v>
      </c>
      <c r="K739" t="s">
        <v>20</v>
      </c>
      <c r="L739" t="str">
        <f t="shared" si="58"/>
        <v>Tenant</v>
      </c>
      <c r="M739">
        <v>2</v>
      </c>
      <c r="N739" t="s">
        <v>29</v>
      </c>
      <c r="O739" t="s">
        <v>35</v>
      </c>
      <c r="P739">
        <v>49</v>
      </c>
      <c r="Q739" t="str">
        <f t="shared" si="59"/>
        <v>45 to 54 yrs</v>
      </c>
      <c r="R739" t="s">
        <v>20</v>
      </c>
    </row>
    <row r="740" spans="1:18">
      <c r="A740">
        <v>28799</v>
      </c>
      <c r="B740" t="s">
        <v>25</v>
      </c>
      <c r="C740" t="str">
        <f t="shared" si="55"/>
        <v>Single</v>
      </c>
      <c r="D740" t="s">
        <v>14</v>
      </c>
      <c r="E740" t="str">
        <f t="shared" si="56"/>
        <v>Female</v>
      </c>
      <c r="F740" s="3">
        <v>40000</v>
      </c>
      <c r="G740" s="3" t="str">
        <f t="shared" si="57"/>
        <v>Lower Class</v>
      </c>
      <c r="H740">
        <v>2</v>
      </c>
      <c r="I740" t="s">
        <v>21</v>
      </c>
      <c r="J740" t="s">
        <v>22</v>
      </c>
      <c r="K740" t="s">
        <v>20</v>
      </c>
      <c r="L740" t="str">
        <f t="shared" si="58"/>
        <v>Tenant</v>
      </c>
      <c r="M740">
        <v>1</v>
      </c>
      <c r="N740" t="s">
        <v>29</v>
      </c>
      <c r="O740" t="s">
        <v>35</v>
      </c>
      <c r="P740">
        <v>47</v>
      </c>
      <c r="Q740" t="str">
        <f t="shared" si="59"/>
        <v>45 to 54 yrs</v>
      </c>
      <c r="R740" t="s">
        <v>17</v>
      </c>
    </row>
    <row r="741" spans="1:18">
      <c r="A741">
        <v>11225</v>
      </c>
      <c r="B741" t="s">
        <v>13</v>
      </c>
      <c r="C741" t="str">
        <f t="shared" si="55"/>
        <v>Married</v>
      </c>
      <c r="D741" t="s">
        <v>14</v>
      </c>
      <c r="E741" t="str">
        <f t="shared" si="56"/>
        <v>Female</v>
      </c>
      <c r="F741" s="3">
        <v>60000</v>
      </c>
      <c r="G741" s="3" t="str">
        <f t="shared" si="57"/>
        <v>Middle Class</v>
      </c>
      <c r="H741">
        <v>2</v>
      </c>
      <c r="I741" t="s">
        <v>21</v>
      </c>
      <c r="J741" t="s">
        <v>23</v>
      </c>
      <c r="K741" t="s">
        <v>17</v>
      </c>
      <c r="L741" t="str">
        <f t="shared" si="58"/>
        <v>Home Owner</v>
      </c>
      <c r="M741">
        <v>1</v>
      </c>
      <c r="N741" t="s">
        <v>33</v>
      </c>
      <c r="O741" t="s">
        <v>35</v>
      </c>
      <c r="P741">
        <v>55</v>
      </c>
      <c r="Q741" t="str">
        <f t="shared" si="59"/>
        <v>55 to 64 yrs</v>
      </c>
      <c r="R741" t="s">
        <v>20</v>
      </c>
    </row>
    <row r="742" spans="1:18">
      <c r="A742">
        <v>17657</v>
      </c>
      <c r="B742" t="s">
        <v>13</v>
      </c>
      <c r="C742" t="str">
        <f t="shared" si="55"/>
        <v>Married</v>
      </c>
      <c r="D742" t="s">
        <v>13</v>
      </c>
      <c r="E742" t="str">
        <f t="shared" si="56"/>
        <v>Male</v>
      </c>
      <c r="F742" s="3">
        <v>40000</v>
      </c>
      <c r="G742" s="3" t="str">
        <f t="shared" si="57"/>
        <v>Lower Class</v>
      </c>
      <c r="H742">
        <v>4</v>
      </c>
      <c r="I742" t="s">
        <v>21</v>
      </c>
      <c r="J742" t="s">
        <v>22</v>
      </c>
      <c r="K742" t="s">
        <v>20</v>
      </c>
      <c r="L742" t="str">
        <f t="shared" si="58"/>
        <v>Tenant</v>
      </c>
      <c r="M742">
        <v>0</v>
      </c>
      <c r="N742" t="s">
        <v>18</v>
      </c>
      <c r="O742" t="s">
        <v>35</v>
      </c>
      <c r="P742">
        <v>30</v>
      </c>
      <c r="Q742" t="str">
        <f t="shared" si="59"/>
        <v>25 to 34 yrs</v>
      </c>
      <c r="R742" t="s">
        <v>20</v>
      </c>
    </row>
    <row r="743" spans="1:18">
      <c r="A743">
        <v>14913</v>
      </c>
      <c r="B743" t="s">
        <v>13</v>
      </c>
      <c r="C743" t="str">
        <f t="shared" si="55"/>
        <v>Married</v>
      </c>
      <c r="D743" t="s">
        <v>14</v>
      </c>
      <c r="E743" t="str">
        <f t="shared" si="56"/>
        <v>Female</v>
      </c>
      <c r="F743" s="3">
        <v>40000</v>
      </c>
      <c r="G743" s="3" t="str">
        <f t="shared" si="57"/>
        <v>Lower Class</v>
      </c>
      <c r="H743">
        <v>1</v>
      </c>
      <c r="I743" t="s">
        <v>21</v>
      </c>
      <c r="J743" t="s">
        <v>22</v>
      </c>
      <c r="K743" t="s">
        <v>17</v>
      </c>
      <c r="L743" t="str">
        <f t="shared" si="58"/>
        <v>Home Owner</v>
      </c>
      <c r="M743">
        <v>1</v>
      </c>
      <c r="N743" t="s">
        <v>29</v>
      </c>
      <c r="O743" t="s">
        <v>35</v>
      </c>
      <c r="P743">
        <v>48</v>
      </c>
      <c r="Q743" t="str">
        <f t="shared" si="59"/>
        <v>45 to 54 yrs</v>
      </c>
      <c r="R743" t="s">
        <v>17</v>
      </c>
    </row>
    <row r="744" spans="1:18">
      <c r="A744">
        <v>14077</v>
      </c>
      <c r="B744" t="s">
        <v>25</v>
      </c>
      <c r="C744" t="str">
        <f t="shared" si="55"/>
        <v>Single</v>
      </c>
      <c r="D744" t="s">
        <v>13</v>
      </c>
      <c r="E744" t="str">
        <f t="shared" si="56"/>
        <v>Male</v>
      </c>
      <c r="F744" s="3">
        <v>30000</v>
      </c>
      <c r="G744" s="3" t="str">
        <f t="shared" si="57"/>
        <v>Lower Class</v>
      </c>
      <c r="H744">
        <v>0</v>
      </c>
      <c r="I744" t="s">
        <v>30</v>
      </c>
      <c r="J744" t="s">
        <v>16</v>
      </c>
      <c r="K744" t="s">
        <v>17</v>
      </c>
      <c r="L744" t="str">
        <f t="shared" si="58"/>
        <v>Home Owner</v>
      </c>
      <c r="M744">
        <v>2</v>
      </c>
      <c r="N744" t="s">
        <v>26</v>
      </c>
      <c r="O744" t="s">
        <v>35</v>
      </c>
      <c r="P744">
        <v>30</v>
      </c>
      <c r="Q744" t="str">
        <f t="shared" si="59"/>
        <v>25 to 34 yrs</v>
      </c>
      <c r="R744" t="s">
        <v>20</v>
      </c>
    </row>
    <row r="745" spans="1:18">
      <c r="A745">
        <v>13296</v>
      </c>
      <c r="B745" t="s">
        <v>13</v>
      </c>
      <c r="C745" t="str">
        <f t="shared" si="55"/>
        <v>Married</v>
      </c>
      <c r="D745" t="s">
        <v>13</v>
      </c>
      <c r="E745" t="str">
        <f t="shared" si="56"/>
        <v>Male</v>
      </c>
      <c r="F745" s="3">
        <v>110000</v>
      </c>
      <c r="G745" s="3" t="str">
        <f t="shared" si="57"/>
        <v>Middle Class</v>
      </c>
      <c r="H745">
        <v>1</v>
      </c>
      <c r="I745" t="s">
        <v>15</v>
      </c>
      <c r="J745" t="s">
        <v>31</v>
      </c>
      <c r="K745" t="s">
        <v>17</v>
      </c>
      <c r="L745" t="str">
        <f t="shared" si="58"/>
        <v>Home Owner</v>
      </c>
      <c r="M745">
        <v>3</v>
      </c>
      <c r="N745" t="s">
        <v>26</v>
      </c>
      <c r="O745" t="s">
        <v>35</v>
      </c>
      <c r="P745">
        <v>45</v>
      </c>
      <c r="Q745" t="str">
        <f t="shared" si="59"/>
        <v>45 to 54 yrs</v>
      </c>
      <c r="R745" t="s">
        <v>20</v>
      </c>
    </row>
    <row r="746" spans="1:18">
      <c r="A746">
        <v>20535</v>
      </c>
      <c r="B746" t="s">
        <v>13</v>
      </c>
      <c r="C746" t="str">
        <f t="shared" si="55"/>
        <v>Married</v>
      </c>
      <c r="D746" t="s">
        <v>14</v>
      </c>
      <c r="E746" t="str">
        <f t="shared" si="56"/>
        <v>Female</v>
      </c>
      <c r="F746" s="3">
        <v>70000</v>
      </c>
      <c r="G746" s="3" t="str">
        <f t="shared" si="57"/>
        <v>Middle Class</v>
      </c>
      <c r="H746">
        <v>4</v>
      </c>
      <c r="I746" t="s">
        <v>21</v>
      </c>
      <c r="J746" t="s">
        <v>23</v>
      </c>
      <c r="K746" t="s">
        <v>17</v>
      </c>
      <c r="L746" t="str">
        <f t="shared" si="58"/>
        <v>Home Owner</v>
      </c>
      <c r="M746">
        <v>1</v>
      </c>
      <c r="N746" t="s">
        <v>33</v>
      </c>
      <c r="O746" t="s">
        <v>35</v>
      </c>
      <c r="P746">
        <v>56</v>
      </c>
      <c r="Q746" t="str">
        <f t="shared" si="59"/>
        <v>55 to 64 yrs</v>
      </c>
      <c r="R746" t="s">
        <v>20</v>
      </c>
    </row>
    <row r="747" spans="1:18">
      <c r="A747">
        <v>12452</v>
      </c>
      <c r="B747" t="s">
        <v>13</v>
      </c>
      <c r="C747" t="str">
        <f t="shared" si="55"/>
        <v>Married</v>
      </c>
      <c r="D747" t="s">
        <v>13</v>
      </c>
      <c r="E747" t="str">
        <f t="shared" si="56"/>
        <v>Male</v>
      </c>
      <c r="F747" s="3">
        <v>60000</v>
      </c>
      <c r="G747" s="3" t="str">
        <f t="shared" si="57"/>
        <v>Middle Class</v>
      </c>
      <c r="H747">
        <v>4</v>
      </c>
      <c r="I747" t="s">
        <v>34</v>
      </c>
      <c r="J747" t="s">
        <v>16</v>
      </c>
      <c r="K747" t="s">
        <v>17</v>
      </c>
      <c r="L747" t="str">
        <f t="shared" si="58"/>
        <v>Home Owner</v>
      </c>
      <c r="M747">
        <v>0</v>
      </c>
      <c r="N747" t="s">
        <v>29</v>
      </c>
      <c r="O747" t="s">
        <v>35</v>
      </c>
      <c r="P747">
        <v>47</v>
      </c>
      <c r="Q747" t="str">
        <f t="shared" si="59"/>
        <v>45 to 54 yrs</v>
      </c>
      <c r="R747" t="s">
        <v>17</v>
      </c>
    </row>
    <row r="748" spans="1:18">
      <c r="A748">
        <v>28043</v>
      </c>
      <c r="B748" t="s">
        <v>13</v>
      </c>
      <c r="C748" t="str">
        <f t="shared" si="55"/>
        <v>Married</v>
      </c>
      <c r="D748" t="s">
        <v>14</v>
      </c>
      <c r="E748" t="str">
        <f t="shared" si="56"/>
        <v>Female</v>
      </c>
      <c r="F748" s="3">
        <v>60000</v>
      </c>
      <c r="G748" s="3" t="str">
        <f t="shared" si="57"/>
        <v>Middle Class</v>
      </c>
      <c r="H748">
        <v>2</v>
      </c>
      <c r="I748" t="s">
        <v>15</v>
      </c>
      <c r="J748" t="s">
        <v>31</v>
      </c>
      <c r="K748" t="s">
        <v>17</v>
      </c>
      <c r="L748" t="str">
        <f t="shared" si="58"/>
        <v>Home Owner</v>
      </c>
      <c r="M748">
        <v>0</v>
      </c>
      <c r="N748" t="s">
        <v>33</v>
      </c>
      <c r="O748" t="s">
        <v>35</v>
      </c>
      <c r="P748">
        <v>56</v>
      </c>
      <c r="Q748" t="str">
        <f t="shared" si="59"/>
        <v>55 to 64 yrs</v>
      </c>
      <c r="R748" t="s">
        <v>20</v>
      </c>
    </row>
    <row r="749" spans="1:18">
      <c r="A749">
        <v>12957</v>
      </c>
      <c r="B749" t="s">
        <v>25</v>
      </c>
      <c r="C749" t="str">
        <f t="shared" si="55"/>
        <v>Single</v>
      </c>
      <c r="D749" t="s">
        <v>14</v>
      </c>
      <c r="E749" t="str">
        <f t="shared" si="56"/>
        <v>Female</v>
      </c>
      <c r="F749" s="3">
        <v>70000</v>
      </c>
      <c r="G749" s="3" t="str">
        <f t="shared" si="57"/>
        <v>Middle Class</v>
      </c>
      <c r="H749">
        <v>1</v>
      </c>
      <c r="I749" t="s">
        <v>15</v>
      </c>
      <c r="J749" t="s">
        <v>23</v>
      </c>
      <c r="K749" t="s">
        <v>20</v>
      </c>
      <c r="L749" t="str">
        <f t="shared" si="58"/>
        <v>Tenant</v>
      </c>
      <c r="M749">
        <v>1</v>
      </c>
      <c r="N749" t="s">
        <v>18</v>
      </c>
      <c r="O749" t="s">
        <v>35</v>
      </c>
      <c r="P749">
        <v>44</v>
      </c>
      <c r="Q749" t="str">
        <f t="shared" si="59"/>
        <v>35 to 44 yrs</v>
      </c>
      <c r="R749" t="s">
        <v>20</v>
      </c>
    </row>
    <row r="750" spans="1:18">
      <c r="A750">
        <v>15412</v>
      </c>
      <c r="B750" t="s">
        <v>13</v>
      </c>
      <c r="C750" t="str">
        <f t="shared" si="55"/>
        <v>Married</v>
      </c>
      <c r="D750" t="s">
        <v>13</v>
      </c>
      <c r="E750" t="str">
        <f t="shared" si="56"/>
        <v>Male</v>
      </c>
      <c r="F750" s="3">
        <v>130000</v>
      </c>
      <c r="G750" s="3" t="str">
        <f t="shared" si="57"/>
        <v>Upper Middle Class</v>
      </c>
      <c r="H750">
        <v>2</v>
      </c>
      <c r="I750" t="s">
        <v>34</v>
      </c>
      <c r="J750" t="s">
        <v>31</v>
      </c>
      <c r="K750" t="s">
        <v>17</v>
      </c>
      <c r="L750" t="str">
        <f t="shared" si="58"/>
        <v>Home Owner</v>
      </c>
      <c r="M750">
        <v>3</v>
      </c>
      <c r="N750" t="s">
        <v>24</v>
      </c>
      <c r="O750" t="s">
        <v>35</v>
      </c>
      <c r="P750">
        <v>69</v>
      </c>
      <c r="Q750" t="str">
        <f t="shared" si="59"/>
        <v>65 yrs &amp; Above</v>
      </c>
      <c r="R750" t="s">
        <v>20</v>
      </c>
    </row>
    <row r="751" spans="1:18">
      <c r="A751">
        <v>20514</v>
      </c>
      <c r="B751" t="s">
        <v>13</v>
      </c>
      <c r="C751" t="str">
        <f t="shared" si="55"/>
        <v>Married</v>
      </c>
      <c r="D751" t="s">
        <v>14</v>
      </c>
      <c r="E751" t="str">
        <f t="shared" si="56"/>
        <v>Female</v>
      </c>
      <c r="F751" s="3">
        <v>70000</v>
      </c>
      <c r="G751" s="3" t="str">
        <f t="shared" si="57"/>
        <v>Middle Class</v>
      </c>
      <c r="H751">
        <v>2</v>
      </c>
      <c r="I751" t="s">
        <v>21</v>
      </c>
      <c r="J751" t="s">
        <v>23</v>
      </c>
      <c r="K751" t="s">
        <v>17</v>
      </c>
      <c r="L751" t="str">
        <f t="shared" si="58"/>
        <v>Home Owner</v>
      </c>
      <c r="M751">
        <v>1</v>
      </c>
      <c r="N751" t="s">
        <v>24</v>
      </c>
      <c r="O751" t="s">
        <v>35</v>
      </c>
      <c r="P751">
        <v>59</v>
      </c>
      <c r="Q751" t="str">
        <f t="shared" si="59"/>
        <v>55 to 64 yrs</v>
      </c>
      <c r="R751" t="s">
        <v>20</v>
      </c>
    </row>
    <row r="752" spans="1:18">
      <c r="A752">
        <v>20758</v>
      </c>
      <c r="B752" t="s">
        <v>13</v>
      </c>
      <c r="C752" t="str">
        <f t="shared" si="55"/>
        <v>Married</v>
      </c>
      <c r="D752" t="s">
        <v>13</v>
      </c>
      <c r="E752" t="str">
        <f t="shared" si="56"/>
        <v>Male</v>
      </c>
      <c r="F752" s="3">
        <v>30000</v>
      </c>
      <c r="G752" s="3" t="str">
        <f t="shared" si="57"/>
        <v>Lower Class</v>
      </c>
      <c r="H752">
        <v>2</v>
      </c>
      <c r="I752" t="s">
        <v>30</v>
      </c>
      <c r="J752" t="s">
        <v>16</v>
      </c>
      <c r="K752" t="s">
        <v>17</v>
      </c>
      <c r="L752" t="str">
        <f t="shared" si="58"/>
        <v>Home Owner</v>
      </c>
      <c r="M752">
        <v>2</v>
      </c>
      <c r="N752" t="s">
        <v>29</v>
      </c>
      <c r="O752" t="s">
        <v>35</v>
      </c>
      <c r="P752">
        <v>50</v>
      </c>
      <c r="Q752" t="str">
        <f t="shared" si="59"/>
        <v>45 to 54 yrs</v>
      </c>
      <c r="R752" t="s">
        <v>20</v>
      </c>
    </row>
    <row r="753" spans="1:18">
      <c r="A753">
        <v>11801</v>
      </c>
      <c r="B753" t="s">
        <v>13</v>
      </c>
      <c r="C753" t="str">
        <f t="shared" si="55"/>
        <v>Married</v>
      </c>
      <c r="D753" t="s">
        <v>13</v>
      </c>
      <c r="E753" t="str">
        <f t="shared" si="56"/>
        <v>Male</v>
      </c>
      <c r="F753" s="3">
        <v>60000</v>
      </c>
      <c r="G753" s="3" t="str">
        <f t="shared" si="57"/>
        <v>Middle Class</v>
      </c>
      <c r="H753">
        <v>1</v>
      </c>
      <c r="I753" t="s">
        <v>34</v>
      </c>
      <c r="J753" t="s">
        <v>23</v>
      </c>
      <c r="K753" t="s">
        <v>17</v>
      </c>
      <c r="L753" t="str">
        <f t="shared" si="58"/>
        <v>Home Owner</v>
      </c>
      <c r="M753">
        <v>0</v>
      </c>
      <c r="N753" t="s">
        <v>24</v>
      </c>
      <c r="O753" t="s">
        <v>35</v>
      </c>
      <c r="P753">
        <v>36</v>
      </c>
      <c r="Q753" t="str">
        <f t="shared" si="59"/>
        <v>35 to 44 yrs</v>
      </c>
      <c r="R753" t="s">
        <v>20</v>
      </c>
    </row>
    <row r="754" spans="1:18">
      <c r="A754">
        <v>22211</v>
      </c>
      <c r="B754" t="s">
        <v>13</v>
      </c>
      <c r="C754" t="str">
        <f t="shared" si="55"/>
        <v>Married</v>
      </c>
      <c r="D754" t="s">
        <v>13</v>
      </c>
      <c r="E754" t="str">
        <f t="shared" si="56"/>
        <v>Male</v>
      </c>
      <c r="F754" s="3">
        <v>60000</v>
      </c>
      <c r="G754" s="3" t="str">
        <f t="shared" si="57"/>
        <v>Middle Class</v>
      </c>
      <c r="H754">
        <v>0</v>
      </c>
      <c r="I754" t="s">
        <v>21</v>
      </c>
      <c r="J754" t="s">
        <v>23</v>
      </c>
      <c r="K754" t="s">
        <v>17</v>
      </c>
      <c r="L754" t="str">
        <f t="shared" si="58"/>
        <v>Home Owner</v>
      </c>
      <c r="M754">
        <v>2</v>
      </c>
      <c r="N754" t="s">
        <v>26</v>
      </c>
      <c r="O754" t="s">
        <v>35</v>
      </c>
      <c r="P754">
        <v>32</v>
      </c>
      <c r="Q754" t="str">
        <f t="shared" si="59"/>
        <v>25 to 34 yrs</v>
      </c>
      <c r="R754" t="s">
        <v>20</v>
      </c>
    </row>
    <row r="755" spans="1:18">
      <c r="A755">
        <v>28087</v>
      </c>
      <c r="B755" t="s">
        <v>25</v>
      </c>
      <c r="C755" t="str">
        <f t="shared" si="55"/>
        <v>Single</v>
      </c>
      <c r="D755" t="s">
        <v>14</v>
      </c>
      <c r="E755" t="str">
        <f t="shared" si="56"/>
        <v>Female</v>
      </c>
      <c r="F755" s="3">
        <v>40000</v>
      </c>
      <c r="G755" s="3" t="str">
        <f t="shared" si="57"/>
        <v>Lower Class</v>
      </c>
      <c r="H755">
        <v>0</v>
      </c>
      <c r="I755" t="s">
        <v>21</v>
      </c>
      <c r="J755" t="s">
        <v>16</v>
      </c>
      <c r="K755" t="s">
        <v>20</v>
      </c>
      <c r="L755" t="str">
        <f t="shared" si="58"/>
        <v>Tenant</v>
      </c>
      <c r="M755">
        <v>1</v>
      </c>
      <c r="N755" t="s">
        <v>29</v>
      </c>
      <c r="O755" t="s">
        <v>35</v>
      </c>
      <c r="P755">
        <v>27</v>
      </c>
      <c r="Q755" t="str">
        <f t="shared" si="59"/>
        <v>25 to 34 yrs</v>
      </c>
      <c r="R755" t="s">
        <v>20</v>
      </c>
    </row>
    <row r="756" spans="1:18">
      <c r="A756">
        <v>23668</v>
      </c>
      <c r="B756" t="s">
        <v>13</v>
      </c>
      <c r="C756" t="str">
        <f t="shared" si="55"/>
        <v>Married</v>
      </c>
      <c r="D756" t="s">
        <v>14</v>
      </c>
      <c r="E756" t="str">
        <f t="shared" si="56"/>
        <v>Female</v>
      </c>
      <c r="F756" s="3">
        <v>40000</v>
      </c>
      <c r="G756" s="3" t="str">
        <f t="shared" si="57"/>
        <v>Lower Class</v>
      </c>
      <c r="H756">
        <v>4</v>
      </c>
      <c r="I756" t="s">
        <v>30</v>
      </c>
      <c r="J756" t="s">
        <v>23</v>
      </c>
      <c r="K756" t="s">
        <v>17</v>
      </c>
      <c r="L756" t="str">
        <f t="shared" si="58"/>
        <v>Home Owner</v>
      </c>
      <c r="M756">
        <v>2</v>
      </c>
      <c r="N756" t="s">
        <v>26</v>
      </c>
      <c r="O756" t="s">
        <v>35</v>
      </c>
      <c r="P756">
        <v>59</v>
      </c>
      <c r="Q756" t="str">
        <f t="shared" si="59"/>
        <v>55 to 64 yrs</v>
      </c>
      <c r="R756" t="s">
        <v>17</v>
      </c>
    </row>
    <row r="757" spans="1:18">
      <c r="A757">
        <v>27441</v>
      </c>
      <c r="B757" t="s">
        <v>13</v>
      </c>
      <c r="C757" t="str">
        <f t="shared" si="55"/>
        <v>Married</v>
      </c>
      <c r="D757" t="s">
        <v>13</v>
      </c>
      <c r="E757" t="str">
        <f t="shared" si="56"/>
        <v>Male</v>
      </c>
      <c r="F757" s="3">
        <v>60000</v>
      </c>
      <c r="G757" s="3" t="str">
        <f t="shared" si="57"/>
        <v>Middle Class</v>
      </c>
      <c r="H757">
        <v>3</v>
      </c>
      <c r="I757" t="s">
        <v>30</v>
      </c>
      <c r="J757" t="s">
        <v>23</v>
      </c>
      <c r="K757" t="s">
        <v>20</v>
      </c>
      <c r="L757" t="str">
        <f t="shared" si="58"/>
        <v>Tenant</v>
      </c>
      <c r="M757">
        <v>2</v>
      </c>
      <c r="N757" t="s">
        <v>24</v>
      </c>
      <c r="O757" t="s">
        <v>35</v>
      </c>
      <c r="P757">
        <v>53</v>
      </c>
      <c r="Q757" t="str">
        <f t="shared" si="59"/>
        <v>45 to 54 yrs</v>
      </c>
      <c r="R757" t="s">
        <v>20</v>
      </c>
    </row>
    <row r="758" spans="1:18">
      <c r="A758">
        <v>27261</v>
      </c>
      <c r="B758" t="s">
        <v>13</v>
      </c>
      <c r="C758" t="str">
        <f t="shared" si="55"/>
        <v>Married</v>
      </c>
      <c r="D758" t="s">
        <v>13</v>
      </c>
      <c r="E758" t="str">
        <f t="shared" si="56"/>
        <v>Male</v>
      </c>
      <c r="F758" s="3">
        <v>40000</v>
      </c>
      <c r="G758" s="3" t="str">
        <f t="shared" si="57"/>
        <v>Lower Class</v>
      </c>
      <c r="H758">
        <v>1</v>
      </c>
      <c r="I758" t="s">
        <v>15</v>
      </c>
      <c r="J758" t="s">
        <v>16</v>
      </c>
      <c r="K758" t="s">
        <v>20</v>
      </c>
      <c r="L758" t="str">
        <f t="shared" si="58"/>
        <v>Tenant</v>
      </c>
      <c r="M758">
        <v>1</v>
      </c>
      <c r="N758" t="s">
        <v>18</v>
      </c>
      <c r="O758" t="s">
        <v>35</v>
      </c>
      <c r="P758">
        <v>36</v>
      </c>
      <c r="Q758" t="str">
        <f t="shared" si="59"/>
        <v>35 to 44 yrs</v>
      </c>
      <c r="R758" t="s">
        <v>17</v>
      </c>
    </row>
    <row r="759" spans="1:18">
      <c r="A759">
        <v>18649</v>
      </c>
      <c r="B759" t="s">
        <v>25</v>
      </c>
      <c r="C759" t="str">
        <f t="shared" si="55"/>
        <v>Single</v>
      </c>
      <c r="D759" t="s">
        <v>13</v>
      </c>
      <c r="E759" t="str">
        <f t="shared" si="56"/>
        <v>Male</v>
      </c>
      <c r="F759" s="3">
        <v>30000</v>
      </c>
      <c r="G759" s="3" t="str">
        <f t="shared" si="57"/>
        <v>Lower Class</v>
      </c>
      <c r="H759">
        <v>1</v>
      </c>
      <c r="I759" t="s">
        <v>30</v>
      </c>
      <c r="J759" t="s">
        <v>22</v>
      </c>
      <c r="K759" t="s">
        <v>17</v>
      </c>
      <c r="L759" t="str">
        <f t="shared" si="58"/>
        <v>Home Owner</v>
      </c>
      <c r="M759">
        <v>2</v>
      </c>
      <c r="N759" t="s">
        <v>29</v>
      </c>
      <c r="O759" t="s">
        <v>35</v>
      </c>
      <c r="P759">
        <v>51</v>
      </c>
      <c r="Q759" t="str">
        <f t="shared" si="59"/>
        <v>45 to 54 yrs</v>
      </c>
      <c r="R759" t="s">
        <v>17</v>
      </c>
    </row>
    <row r="760" spans="1:18">
      <c r="A760">
        <v>21714</v>
      </c>
      <c r="B760" t="s">
        <v>25</v>
      </c>
      <c r="C760" t="str">
        <f t="shared" si="55"/>
        <v>Single</v>
      </c>
      <c r="D760" t="s">
        <v>14</v>
      </c>
      <c r="E760" t="str">
        <f t="shared" si="56"/>
        <v>Female</v>
      </c>
      <c r="F760" s="3">
        <v>80000</v>
      </c>
      <c r="G760" s="3" t="str">
        <f t="shared" si="57"/>
        <v>Middle Class</v>
      </c>
      <c r="H760">
        <v>5</v>
      </c>
      <c r="I760" t="s">
        <v>34</v>
      </c>
      <c r="J760" t="s">
        <v>16</v>
      </c>
      <c r="K760" t="s">
        <v>20</v>
      </c>
      <c r="L760" t="str">
        <f t="shared" si="58"/>
        <v>Tenant</v>
      </c>
      <c r="M760">
        <v>0</v>
      </c>
      <c r="N760" t="s">
        <v>18</v>
      </c>
      <c r="O760" t="s">
        <v>35</v>
      </c>
      <c r="P760">
        <v>47</v>
      </c>
      <c r="Q760" t="str">
        <f t="shared" si="59"/>
        <v>45 to 54 yrs</v>
      </c>
      <c r="R760" t="s">
        <v>20</v>
      </c>
    </row>
    <row r="761" spans="1:18">
      <c r="A761">
        <v>23217</v>
      </c>
      <c r="B761" t="s">
        <v>25</v>
      </c>
      <c r="C761" t="str">
        <f t="shared" si="55"/>
        <v>Single</v>
      </c>
      <c r="D761" t="s">
        <v>14</v>
      </c>
      <c r="E761" t="str">
        <f t="shared" si="56"/>
        <v>Female</v>
      </c>
      <c r="F761" s="3">
        <v>60000</v>
      </c>
      <c r="G761" s="3" t="str">
        <f t="shared" si="57"/>
        <v>Middle Class</v>
      </c>
      <c r="H761">
        <v>3</v>
      </c>
      <c r="I761" t="s">
        <v>34</v>
      </c>
      <c r="J761" t="s">
        <v>23</v>
      </c>
      <c r="K761" t="s">
        <v>17</v>
      </c>
      <c r="L761" t="str">
        <f t="shared" si="58"/>
        <v>Home Owner</v>
      </c>
      <c r="M761">
        <v>0</v>
      </c>
      <c r="N761" t="s">
        <v>24</v>
      </c>
      <c r="O761" t="s">
        <v>35</v>
      </c>
      <c r="P761">
        <v>43</v>
      </c>
      <c r="Q761" t="str">
        <f t="shared" si="59"/>
        <v>35 to 44 yrs</v>
      </c>
      <c r="R761" t="s">
        <v>17</v>
      </c>
    </row>
    <row r="762" spans="1:18">
      <c r="A762">
        <v>23797</v>
      </c>
      <c r="B762" t="s">
        <v>25</v>
      </c>
      <c r="C762" t="str">
        <f t="shared" si="55"/>
        <v>Single</v>
      </c>
      <c r="D762" t="s">
        <v>13</v>
      </c>
      <c r="E762" t="str">
        <f t="shared" si="56"/>
        <v>Male</v>
      </c>
      <c r="F762" s="3">
        <v>20000</v>
      </c>
      <c r="G762" s="3" t="str">
        <f t="shared" si="57"/>
        <v>Lower Class</v>
      </c>
      <c r="H762">
        <v>3</v>
      </c>
      <c r="I762" t="s">
        <v>32</v>
      </c>
      <c r="J762" t="s">
        <v>22</v>
      </c>
      <c r="K762" t="s">
        <v>20</v>
      </c>
      <c r="L762" t="str">
        <f t="shared" si="58"/>
        <v>Tenant</v>
      </c>
      <c r="M762">
        <v>2</v>
      </c>
      <c r="N762" t="s">
        <v>18</v>
      </c>
      <c r="O762" t="s">
        <v>35</v>
      </c>
      <c r="P762">
        <v>50</v>
      </c>
      <c r="Q762" t="str">
        <f t="shared" si="59"/>
        <v>45 to 54 yrs</v>
      </c>
      <c r="R762" t="s">
        <v>20</v>
      </c>
    </row>
    <row r="763" spans="1:18">
      <c r="A763">
        <v>13216</v>
      </c>
      <c r="B763" t="s">
        <v>13</v>
      </c>
      <c r="C763" t="str">
        <f t="shared" si="55"/>
        <v>Married</v>
      </c>
      <c r="D763" t="s">
        <v>14</v>
      </c>
      <c r="E763" t="str">
        <f t="shared" si="56"/>
        <v>Female</v>
      </c>
      <c r="F763" s="3">
        <v>60000</v>
      </c>
      <c r="G763" s="3" t="str">
        <f t="shared" si="57"/>
        <v>Middle Class</v>
      </c>
      <c r="H763">
        <v>5</v>
      </c>
      <c r="I763" t="s">
        <v>15</v>
      </c>
      <c r="J763" t="s">
        <v>31</v>
      </c>
      <c r="K763" t="s">
        <v>17</v>
      </c>
      <c r="L763" t="str">
        <f t="shared" si="58"/>
        <v>Home Owner</v>
      </c>
      <c r="M763">
        <v>3</v>
      </c>
      <c r="N763" t="s">
        <v>33</v>
      </c>
      <c r="O763" t="s">
        <v>35</v>
      </c>
      <c r="P763">
        <v>59</v>
      </c>
      <c r="Q763" t="str">
        <f t="shared" si="59"/>
        <v>55 to 64 yrs</v>
      </c>
      <c r="R763" t="s">
        <v>20</v>
      </c>
    </row>
    <row r="764" spans="1:18">
      <c r="A764">
        <v>20657</v>
      </c>
      <c r="B764" t="s">
        <v>25</v>
      </c>
      <c r="C764" t="str">
        <f t="shared" si="55"/>
        <v>Single</v>
      </c>
      <c r="D764" t="s">
        <v>13</v>
      </c>
      <c r="E764" t="str">
        <f t="shared" si="56"/>
        <v>Male</v>
      </c>
      <c r="F764" s="3">
        <v>50000</v>
      </c>
      <c r="G764" s="3" t="str">
        <f t="shared" si="57"/>
        <v>Lower Class</v>
      </c>
      <c r="H764">
        <v>2</v>
      </c>
      <c r="I764" t="s">
        <v>15</v>
      </c>
      <c r="J764" t="s">
        <v>16</v>
      </c>
      <c r="K764" t="s">
        <v>17</v>
      </c>
      <c r="L764" t="str">
        <f t="shared" si="58"/>
        <v>Home Owner</v>
      </c>
      <c r="M764">
        <v>0</v>
      </c>
      <c r="N764" t="s">
        <v>24</v>
      </c>
      <c r="O764" t="s">
        <v>35</v>
      </c>
      <c r="P764">
        <v>37</v>
      </c>
      <c r="Q764" t="str">
        <f t="shared" si="59"/>
        <v>35 to 44 yrs</v>
      </c>
      <c r="R764" t="s">
        <v>17</v>
      </c>
    </row>
    <row r="765" spans="1:18">
      <c r="A765">
        <v>12882</v>
      </c>
      <c r="B765" t="s">
        <v>13</v>
      </c>
      <c r="C765" t="str">
        <f t="shared" si="55"/>
        <v>Married</v>
      </c>
      <c r="D765" t="s">
        <v>13</v>
      </c>
      <c r="E765" t="str">
        <f t="shared" si="56"/>
        <v>Male</v>
      </c>
      <c r="F765" s="3">
        <v>50000</v>
      </c>
      <c r="G765" s="3" t="str">
        <f t="shared" si="57"/>
        <v>Lower Class</v>
      </c>
      <c r="H765">
        <v>1</v>
      </c>
      <c r="I765" t="s">
        <v>34</v>
      </c>
      <c r="J765" t="s">
        <v>16</v>
      </c>
      <c r="K765" t="s">
        <v>17</v>
      </c>
      <c r="L765" t="str">
        <f t="shared" si="58"/>
        <v>Home Owner</v>
      </c>
      <c r="M765">
        <v>0</v>
      </c>
      <c r="N765" t="s">
        <v>18</v>
      </c>
      <c r="O765" t="s">
        <v>35</v>
      </c>
      <c r="P765">
        <v>33</v>
      </c>
      <c r="Q765" t="str">
        <f t="shared" si="59"/>
        <v>25 to 34 yrs</v>
      </c>
      <c r="R765" t="s">
        <v>17</v>
      </c>
    </row>
    <row r="766" spans="1:18">
      <c r="A766">
        <v>25908</v>
      </c>
      <c r="B766" t="s">
        <v>13</v>
      </c>
      <c r="C766" t="str">
        <f t="shared" si="55"/>
        <v>Married</v>
      </c>
      <c r="D766" t="s">
        <v>14</v>
      </c>
      <c r="E766" t="str">
        <f t="shared" si="56"/>
        <v>Female</v>
      </c>
      <c r="F766" s="3">
        <v>60000</v>
      </c>
      <c r="G766" s="3" t="str">
        <f t="shared" si="57"/>
        <v>Middle Class</v>
      </c>
      <c r="H766">
        <v>0</v>
      </c>
      <c r="I766" t="s">
        <v>21</v>
      </c>
      <c r="J766" t="s">
        <v>16</v>
      </c>
      <c r="K766" t="s">
        <v>20</v>
      </c>
      <c r="L766" t="str">
        <f t="shared" si="58"/>
        <v>Tenant</v>
      </c>
      <c r="M766">
        <v>1</v>
      </c>
      <c r="N766" t="s">
        <v>29</v>
      </c>
      <c r="O766" t="s">
        <v>35</v>
      </c>
      <c r="P766">
        <v>27</v>
      </c>
      <c r="Q766" t="str">
        <f t="shared" si="59"/>
        <v>25 to 34 yrs</v>
      </c>
      <c r="R766" t="s">
        <v>20</v>
      </c>
    </row>
    <row r="767" spans="1:18">
      <c r="A767">
        <v>16753</v>
      </c>
      <c r="B767" t="s">
        <v>25</v>
      </c>
      <c r="C767" t="str">
        <f t="shared" si="55"/>
        <v>Single</v>
      </c>
      <c r="D767" t="s">
        <v>14</v>
      </c>
      <c r="E767" t="str">
        <f t="shared" si="56"/>
        <v>Female</v>
      </c>
      <c r="F767" s="3">
        <v>70000</v>
      </c>
      <c r="G767" s="3" t="str">
        <f t="shared" si="57"/>
        <v>Middle Class</v>
      </c>
      <c r="H767">
        <v>0</v>
      </c>
      <c r="I767" t="s">
        <v>21</v>
      </c>
      <c r="J767" t="s">
        <v>16</v>
      </c>
      <c r="K767" t="s">
        <v>17</v>
      </c>
      <c r="L767" t="str">
        <f t="shared" si="58"/>
        <v>Home Owner</v>
      </c>
      <c r="M767">
        <v>2</v>
      </c>
      <c r="N767" t="s">
        <v>26</v>
      </c>
      <c r="O767" t="s">
        <v>35</v>
      </c>
      <c r="P767">
        <v>34</v>
      </c>
      <c r="Q767" t="str">
        <f t="shared" si="59"/>
        <v>25 to 34 yrs</v>
      </c>
      <c r="R767" t="s">
        <v>17</v>
      </c>
    </row>
    <row r="768" spans="1:18">
      <c r="A768">
        <v>14608</v>
      </c>
      <c r="B768" t="s">
        <v>13</v>
      </c>
      <c r="C768" t="str">
        <f t="shared" si="55"/>
        <v>Married</v>
      </c>
      <c r="D768" t="s">
        <v>13</v>
      </c>
      <c r="E768" t="str">
        <f t="shared" si="56"/>
        <v>Male</v>
      </c>
      <c r="F768" s="3">
        <v>50000</v>
      </c>
      <c r="G768" s="3" t="str">
        <f t="shared" si="57"/>
        <v>Lower Class</v>
      </c>
      <c r="H768">
        <v>4</v>
      </c>
      <c r="I768" t="s">
        <v>15</v>
      </c>
      <c r="J768" t="s">
        <v>16</v>
      </c>
      <c r="K768" t="s">
        <v>17</v>
      </c>
      <c r="L768" t="str">
        <f t="shared" si="58"/>
        <v>Home Owner</v>
      </c>
      <c r="M768">
        <v>3</v>
      </c>
      <c r="N768" t="s">
        <v>33</v>
      </c>
      <c r="O768" t="s">
        <v>35</v>
      </c>
      <c r="P768">
        <v>42</v>
      </c>
      <c r="Q768" t="str">
        <f t="shared" si="59"/>
        <v>35 to 44 yrs</v>
      </c>
      <c r="R768" t="s">
        <v>20</v>
      </c>
    </row>
    <row r="769" spans="1:18">
      <c r="A769">
        <v>24979</v>
      </c>
      <c r="B769" t="s">
        <v>13</v>
      </c>
      <c r="C769" t="str">
        <f t="shared" si="55"/>
        <v>Married</v>
      </c>
      <c r="D769" t="s">
        <v>14</v>
      </c>
      <c r="E769" t="str">
        <f t="shared" si="56"/>
        <v>Female</v>
      </c>
      <c r="F769" s="3">
        <v>60000</v>
      </c>
      <c r="G769" s="3" t="str">
        <f t="shared" si="57"/>
        <v>Middle Class</v>
      </c>
      <c r="H769">
        <v>2</v>
      </c>
      <c r="I769" t="s">
        <v>21</v>
      </c>
      <c r="J769" t="s">
        <v>23</v>
      </c>
      <c r="K769" t="s">
        <v>17</v>
      </c>
      <c r="L769" t="str">
        <f t="shared" si="58"/>
        <v>Home Owner</v>
      </c>
      <c r="M769">
        <v>2</v>
      </c>
      <c r="N769" t="s">
        <v>24</v>
      </c>
      <c r="O769" t="s">
        <v>35</v>
      </c>
      <c r="P769">
        <v>57</v>
      </c>
      <c r="Q769" t="str">
        <f t="shared" si="59"/>
        <v>55 to 64 yrs</v>
      </c>
      <c r="R769" t="s">
        <v>17</v>
      </c>
    </row>
    <row r="770" spans="1:18">
      <c r="A770">
        <v>13313</v>
      </c>
      <c r="B770" t="s">
        <v>13</v>
      </c>
      <c r="C770" t="str">
        <f t="shared" si="55"/>
        <v>Married</v>
      </c>
      <c r="D770" t="s">
        <v>14</v>
      </c>
      <c r="E770" t="str">
        <f t="shared" si="56"/>
        <v>Female</v>
      </c>
      <c r="F770" s="3">
        <v>120000</v>
      </c>
      <c r="G770" s="3" t="str">
        <f t="shared" si="57"/>
        <v>Upper Middle Class</v>
      </c>
      <c r="H770">
        <v>1</v>
      </c>
      <c r="I770" t="s">
        <v>30</v>
      </c>
      <c r="J770" t="s">
        <v>23</v>
      </c>
      <c r="K770" t="s">
        <v>20</v>
      </c>
      <c r="L770" t="str">
        <f t="shared" si="58"/>
        <v>Tenant</v>
      </c>
      <c r="M770">
        <v>4</v>
      </c>
      <c r="N770" t="s">
        <v>24</v>
      </c>
      <c r="O770" t="s">
        <v>35</v>
      </c>
      <c r="P770">
        <v>45</v>
      </c>
      <c r="Q770" t="str">
        <f t="shared" si="59"/>
        <v>45 to 54 yrs</v>
      </c>
      <c r="R770" t="s">
        <v>20</v>
      </c>
    </row>
    <row r="771" spans="1:18">
      <c r="A771">
        <v>18952</v>
      </c>
      <c r="B771" t="s">
        <v>13</v>
      </c>
      <c r="C771" t="str">
        <f t="shared" ref="C771:C834" si="60">IF($B$2:$B$1001="M", "Married","Single")</f>
        <v>Married</v>
      </c>
      <c r="D771" t="s">
        <v>14</v>
      </c>
      <c r="E771" t="str">
        <f t="shared" ref="E771:E834" si="61">IF($D$2:$D$1001="F", "Female", "Male")</f>
        <v>Female</v>
      </c>
      <c r="F771" s="3">
        <v>100000</v>
      </c>
      <c r="G771" s="3" t="str">
        <f t="shared" ref="G771:G834" si="62">_xlfn.IFS(F771&lt;=57375,"Lower Class",F771&lt;=114750,"Middle Class",F771&lt;=253414,"Upper Middle Class",TRUE,"Upper Class")</f>
        <v>Middle Class</v>
      </c>
      <c r="H771">
        <v>4</v>
      </c>
      <c r="I771" t="s">
        <v>15</v>
      </c>
      <c r="J771" t="s">
        <v>31</v>
      </c>
      <c r="K771" t="s">
        <v>17</v>
      </c>
      <c r="L771" t="str">
        <f t="shared" ref="L771:L834" si="63">IF($K$2:$K$1001="Yes", "Home Owner","Tenant")</f>
        <v>Home Owner</v>
      </c>
      <c r="M771">
        <v>4</v>
      </c>
      <c r="N771" t="s">
        <v>18</v>
      </c>
      <c r="O771" t="s">
        <v>35</v>
      </c>
      <c r="P771">
        <v>40</v>
      </c>
      <c r="Q771" t="str">
        <f t="shared" ref="Q771:Q834" si="64">_xlfn.IFS(P771&lt;25,"Less than 25 yrs",P771&lt;35,"25 to 34 yrs",P771&lt;45,"35 to 44 yrs",P771&lt;55,"45 to 54 yrs",P771&lt;65,"55 to 64 yrs", TRUE, "65 yrs &amp; Above")</f>
        <v>35 to 44 yrs</v>
      </c>
      <c r="R771" t="s">
        <v>20</v>
      </c>
    </row>
    <row r="772" spans="1:18">
      <c r="A772">
        <v>17699</v>
      </c>
      <c r="B772" t="s">
        <v>13</v>
      </c>
      <c r="C772" t="str">
        <f t="shared" si="60"/>
        <v>Married</v>
      </c>
      <c r="D772" t="s">
        <v>13</v>
      </c>
      <c r="E772" t="str">
        <f t="shared" si="61"/>
        <v>Male</v>
      </c>
      <c r="F772" s="3">
        <v>60000</v>
      </c>
      <c r="G772" s="3" t="str">
        <f t="shared" si="62"/>
        <v>Middle Class</v>
      </c>
      <c r="H772">
        <v>1</v>
      </c>
      <c r="I772" t="s">
        <v>34</v>
      </c>
      <c r="J772" t="s">
        <v>16</v>
      </c>
      <c r="K772" t="s">
        <v>20</v>
      </c>
      <c r="L772" t="str">
        <f t="shared" si="63"/>
        <v>Tenant</v>
      </c>
      <c r="M772">
        <v>0</v>
      </c>
      <c r="N772" t="s">
        <v>18</v>
      </c>
      <c r="O772" t="s">
        <v>35</v>
      </c>
      <c r="P772">
        <v>55</v>
      </c>
      <c r="Q772" t="str">
        <f t="shared" si="64"/>
        <v>55 to 64 yrs</v>
      </c>
      <c r="R772" t="s">
        <v>20</v>
      </c>
    </row>
    <row r="773" spans="1:18">
      <c r="A773">
        <v>14657</v>
      </c>
      <c r="B773" t="s">
        <v>13</v>
      </c>
      <c r="C773" t="str">
        <f t="shared" si="60"/>
        <v>Married</v>
      </c>
      <c r="D773" t="s">
        <v>13</v>
      </c>
      <c r="E773" t="str">
        <f t="shared" si="61"/>
        <v>Male</v>
      </c>
      <c r="F773" s="3">
        <v>80000</v>
      </c>
      <c r="G773" s="3" t="str">
        <f t="shared" si="62"/>
        <v>Middle Class</v>
      </c>
      <c r="H773">
        <v>1</v>
      </c>
      <c r="I773" t="s">
        <v>21</v>
      </c>
      <c r="J773" t="s">
        <v>16</v>
      </c>
      <c r="K773" t="s">
        <v>20</v>
      </c>
      <c r="L773" t="str">
        <f t="shared" si="63"/>
        <v>Tenant</v>
      </c>
      <c r="M773">
        <v>1</v>
      </c>
      <c r="N773" t="s">
        <v>18</v>
      </c>
      <c r="O773" t="s">
        <v>35</v>
      </c>
      <c r="P773">
        <v>47</v>
      </c>
      <c r="Q773" t="str">
        <f t="shared" si="64"/>
        <v>45 to 54 yrs</v>
      </c>
      <c r="R773" t="s">
        <v>17</v>
      </c>
    </row>
    <row r="774" spans="1:18">
      <c r="A774">
        <v>11540</v>
      </c>
      <c r="B774" t="s">
        <v>25</v>
      </c>
      <c r="C774" t="str">
        <f t="shared" si="60"/>
        <v>Single</v>
      </c>
      <c r="D774" t="s">
        <v>13</v>
      </c>
      <c r="E774" t="str">
        <f t="shared" si="61"/>
        <v>Male</v>
      </c>
      <c r="F774" s="3">
        <v>60000</v>
      </c>
      <c r="G774" s="3" t="str">
        <f t="shared" si="62"/>
        <v>Middle Class</v>
      </c>
      <c r="H774">
        <v>4</v>
      </c>
      <c r="I774" t="s">
        <v>34</v>
      </c>
      <c r="J774" t="s">
        <v>16</v>
      </c>
      <c r="K774" t="s">
        <v>17</v>
      </c>
      <c r="L774" t="str">
        <f t="shared" si="63"/>
        <v>Home Owner</v>
      </c>
      <c r="M774">
        <v>0</v>
      </c>
      <c r="N774" t="s">
        <v>29</v>
      </c>
      <c r="O774" t="s">
        <v>35</v>
      </c>
      <c r="P774">
        <v>47</v>
      </c>
      <c r="Q774" t="str">
        <f t="shared" si="64"/>
        <v>45 to 54 yrs</v>
      </c>
      <c r="R774" t="s">
        <v>17</v>
      </c>
    </row>
    <row r="775" spans="1:18">
      <c r="A775">
        <v>11783</v>
      </c>
      <c r="B775" t="s">
        <v>13</v>
      </c>
      <c r="C775" t="str">
        <f t="shared" si="60"/>
        <v>Married</v>
      </c>
      <c r="D775" t="s">
        <v>14</v>
      </c>
      <c r="E775" t="str">
        <f t="shared" si="61"/>
        <v>Female</v>
      </c>
      <c r="F775" s="3">
        <v>60000</v>
      </c>
      <c r="G775" s="3" t="str">
        <f t="shared" si="62"/>
        <v>Middle Class</v>
      </c>
      <c r="H775">
        <v>1</v>
      </c>
      <c r="I775" t="s">
        <v>34</v>
      </c>
      <c r="J775" t="s">
        <v>16</v>
      </c>
      <c r="K775" t="s">
        <v>17</v>
      </c>
      <c r="L775" t="str">
        <f t="shared" si="63"/>
        <v>Home Owner</v>
      </c>
      <c r="M775">
        <v>0</v>
      </c>
      <c r="N775" t="s">
        <v>18</v>
      </c>
      <c r="O775" t="s">
        <v>35</v>
      </c>
      <c r="P775">
        <v>34</v>
      </c>
      <c r="Q775" t="str">
        <f t="shared" si="64"/>
        <v>25 to 34 yrs</v>
      </c>
      <c r="R775" t="s">
        <v>20</v>
      </c>
    </row>
    <row r="776" spans="1:18">
      <c r="A776">
        <v>14602</v>
      </c>
      <c r="B776" t="s">
        <v>13</v>
      </c>
      <c r="C776" t="str">
        <f t="shared" si="60"/>
        <v>Married</v>
      </c>
      <c r="D776" t="s">
        <v>14</v>
      </c>
      <c r="E776" t="str">
        <f t="shared" si="61"/>
        <v>Female</v>
      </c>
      <c r="F776" s="3">
        <v>80000</v>
      </c>
      <c r="G776" s="3" t="str">
        <f t="shared" si="62"/>
        <v>Middle Class</v>
      </c>
      <c r="H776">
        <v>3</v>
      </c>
      <c r="I776" t="s">
        <v>34</v>
      </c>
      <c r="J776" t="s">
        <v>23</v>
      </c>
      <c r="K776" t="s">
        <v>17</v>
      </c>
      <c r="L776" t="str">
        <f t="shared" si="63"/>
        <v>Home Owner</v>
      </c>
      <c r="M776">
        <v>0</v>
      </c>
      <c r="N776" t="s">
        <v>18</v>
      </c>
      <c r="O776" t="s">
        <v>35</v>
      </c>
      <c r="P776">
        <v>36</v>
      </c>
      <c r="Q776" t="str">
        <f t="shared" si="64"/>
        <v>35 to 44 yrs</v>
      </c>
      <c r="R776" t="s">
        <v>17</v>
      </c>
    </row>
    <row r="777" spans="1:18">
      <c r="A777">
        <v>29030</v>
      </c>
      <c r="B777" t="s">
        <v>13</v>
      </c>
      <c r="C777" t="str">
        <f t="shared" si="60"/>
        <v>Married</v>
      </c>
      <c r="D777" t="s">
        <v>13</v>
      </c>
      <c r="E777" t="str">
        <f t="shared" si="61"/>
        <v>Male</v>
      </c>
      <c r="F777" s="3">
        <v>70000</v>
      </c>
      <c r="G777" s="3" t="str">
        <f t="shared" si="62"/>
        <v>Middle Class</v>
      </c>
      <c r="H777">
        <v>2</v>
      </c>
      <c r="I777" t="s">
        <v>32</v>
      </c>
      <c r="J777" t="s">
        <v>16</v>
      </c>
      <c r="K777" t="s">
        <v>17</v>
      </c>
      <c r="L777" t="str">
        <f t="shared" si="63"/>
        <v>Home Owner</v>
      </c>
      <c r="M777">
        <v>2</v>
      </c>
      <c r="N777" t="s">
        <v>33</v>
      </c>
      <c r="O777" t="s">
        <v>35</v>
      </c>
      <c r="P777">
        <v>54</v>
      </c>
      <c r="Q777" t="str">
        <f t="shared" si="64"/>
        <v>45 to 54 yrs</v>
      </c>
      <c r="R777" t="s">
        <v>20</v>
      </c>
    </row>
    <row r="778" spans="1:18">
      <c r="A778">
        <v>26490</v>
      </c>
      <c r="B778" t="s">
        <v>25</v>
      </c>
      <c r="C778" t="str">
        <f t="shared" si="60"/>
        <v>Single</v>
      </c>
      <c r="D778" t="s">
        <v>13</v>
      </c>
      <c r="E778" t="str">
        <f t="shared" si="61"/>
        <v>Male</v>
      </c>
      <c r="F778" s="3">
        <v>70000</v>
      </c>
      <c r="G778" s="3" t="str">
        <f t="shared" si="62"/>
        <v>Middle Class</v>
      </c>
      <c r="H778">
        <v>2</v>
      </c>
      <c r="I778" t="s">
        <v>15</v>
      </c>
      <c r="J778" t="s">
        <v>31</v>
      </c>
      <c r="K778" t="s">
        <v>20</v>
      </c>
      <c r="L778" t="str">
        <f t="shared" si="63"/>
        <v>Tenant</v>
      </c>
      <c r="M778">
        <v>1</v>
      </c>
      <c r="N778" t="s">
        <v>24</v>
      </c>
      <c r="O778" t="s">
        <v>35</v>
      </c>
      <c r="P778">
        <v>59</v>
      </c>
      <c r="Q778" t="str">
        <f t="shared" si="64"/>
        <v>55 to 64 yrs</v>
      </c>
      <c r="R778" t="s">
        <v>17</v>
      </c>
    </row>
    <row r="779" spans="1:18">
      <c r="A779">
        <v>13151</v>
      </c>
      <c r="B779" t="s">
        <v>25</v>
      </c>
      <c r="C779" t="str">
        <f t="shared" si="60"/>
        <v>Single</v>
      </c>
      <c r="D779" t="s">
        <v>13</v>
      </c>
      <c r="E779" t="str">
        <f t="shared" si="61"/>
        <v>Male</v>
      </c>
      <c r="F779" s="3">
        <v>40000</v>
      </c>
      <c r="G779" s="3" t="str">
        <f t="shared" si="62"/>
        <v>Lower Class</v>
      </c>
      <c r="H779">
        <v>0</v>
      </c>
      <c r="I779" t="s">
        <v>30</v>
      </c>
      <c r="J779" t="s">
        <v>16</v>
      </c>
      <c r="K779" t="s">
        <v>17</v>
      </c>
      <c r="L779" t="str">
        <f t="shared" si="63"/>
        <v>Home Owner</v>
      </c>
      <c r="M779">
        <v>2</v>
      </c>
      <c r="N779" t="s">
        <v>26</v>
      </c>
      <c r="O779" t="s">
        <v>35</v>
      </c>
      <c r="P779">
        <v>27</v>
      </c>
      <c r="Q779" t="str">
        <f t="shared" si="64"/>
        <v>25 to 34 yrs</v>
      </c>
      <c r="R779" t="s">
        <v>20</v>
      </c>
    </row>
    <row r="780" spans="1:18">
      <c r="A780">
        <v>17260</v>
      </c>
      <c r="B780" t="s">
        <v>13</v>
      </c>
      <c r="C780" t="str">
        <f t="shared" si="60"/>
        <v>Married</v>
      </c>
      <c r="D780" t="s">
        <v>13</v>
      </c>
      <c r="E780" t="str">
        <f t="shared" si="61"/>
        <v>Male</v>
      </c>
      <c r="F780" s="3">
        <v>90000</v>
      </c>
      <c r="G780" s="3" t="str">
        <f t="shared" si="62"/>
        <v>Middle Class</v>
      </c>
      <c r="H780">
        <v>5</v>
      </c>
      <c r="I780" t="s">
        <v>21</v>
      </c>
      <c r="J780" t="s">
        <v>23</v>
      </c>
      <c r="K780" t="s">
        <v>17</v>
      </c>
      <c r="L780" t="str">
        <f t="shared" si="63"/>
        <v>Home Owner</v>
      </c>
      <c r="M780">
        <v>3</v>
      </c>
      <c r="N780" t="s">
        <v>18</v>
      </c>
      <c r="O780" t="s">
        <v>35</v>
      </c>
      <c r="P780">
        <v>41</v>
      </c>
      <c r="Q780" t="str">
        <f t="shared" si="64"/>
        <v>35 to 44 yrs</v>
      </c>
      <c r="R780" t="s">
        <v>20</v>
      </c>
    </row>
    <row r="781" spans="1:18">
      <c r="A781">
        <v>15372</v>
      </c>
      <c r="B781" t="s">
        <v>13</v>
      </c>
      <c r="C781" t="str">
        <f t="shared" si="60"/>
        <v>Married</v>
      </c>
      <c r="D781" t="s">
        <v>13</v>
      </c>
      <c r="E781" t="str">
        <f t="shared" si="61"/>
        <v>Male</v>
      </c>
      <c r="F781" s="3">
        <v>80000</v>
      </c>
      <c r="G781" s="3" t="str">
        <f t="shared" si="62"/>
        <v>Middle Class</v>
      </c>
      <c r="H781">
        <v>3</v>
      </c>
      <c r="I781" t="s">
        <v>21</v>
      </c>
      <c r="J781" t="s">
        <v>23</v>
      </c>
      <c r="K781" t="s">
        <v>20</v>
      </c>
      <c r="L781" t="str">
        <f t="shared" si="63"/>
        <v>Tenant</v>
      </c>
      <c r="M781">
        <v>2</v>
      </c>
      <c r="N781" t="s">
        <v>24</v>
      </c>
      <c r="O781" t="s">
        <v>35</v>
      </c>
      <c r="P781">
        <v>50</v>
      </c>
      <c r="Q781" t="str">
        <f t="shared" si="64"/>
        <v>45 to 54 yrs</v>
      </c>
      <c r="R781" t="s">
        <v>17</v>
      </c>
    </row>
    <row r="782" spans="1:18">
      <c r="A782">
        <v>18105</v>
      </c>
      <c r="B782" t="s">
        <v>13</v>
      </c>
      <c r="C782" t="str">
        <f t="shared" si="60"/>
        <v>Married</v>
      </c>
      <c r="D782" t="s">
        <v>14</v>
      </c>
      <c r="E782" t="str">
        <f t="shared" si="61"/>
        <v>Female</v>
      </c>
      <c r="F782" s="3">
        <v>60000</v>
      </c>
      <c r="G782" s="3" t="str">
        <f t="shared" si="62"/>
        <v>Middle Class</v>
      </c>
      <c r="H782">
        <v>2</v>
      </c>
      <c r="I782" t="s">
        <v>21</v>
      </c>
      <c r="J782" t="s">
        <v>23</v>
      </c>
      <c r="K782" t="s">
        <v>17</v>
      </c>
      <c r="L782" t="str">
        <f t="shared" si="63"/>
        <v>Home Owner</v>
      </c>
      <c r="M782">
        <v>1</v>
      </c>
      <c r="N782" t="s">
        <v>33</v>
      </c>
      <c r="O782" t="s">
        <v>35</v>
      </c>
      <c r="P782">
        <v>55</v>
      </c>
      <c r="Q782" t="str">
        <f t="shared" si="64"/>
        <v>55 to 64 yrs</v>
      </c>
      <c r="R782" t="s">
        <v>20</v>
      </c>
    </row>
    <row r="783" spans="1:18">
      <c r="A783">
        <v>19660</v>
      </c>
      <c r="B783" t="s">
        <v>13</v>
      </c>
      <c r="C783" t="str">
        <f t="shared" si="60"/>
        <v>Married</v>
      </c>
      <c r="D783" t="s">
        <v>13</v>
      </c>
      <c r="E783" t="str">
        <f t="shared" si="61"/>
        <v>Male</v>
      </c>
      <c r="F783" s="3">
        <v>80000</v>
      </c>
      <c r="G783" s="3" t="str">
        <f t="shared" si="62"/>
        <v>Middle Class</v>
      </c>
      <c r="H783">
        <v>4</v>
      </c>
      <c r="I783" t="s">
        <v>15</v>
      </c>
      <c r="J783" t="s">
        <v>31</v>
      </c>
      <c r="K783" t="s">
        <v>17</v>
      </c>
      <c r="L783" t="str">
        <f t="shared" si="63"/>
        <v>Home Owner</v>
      </c>
      <c r="M783">
        <v>0</v>
      </c>
      <c r="N783" t="s">
        <v>18</v>
      </c>
      <c r="O783" t="s">
        <v>35</v>
      </c>
      <c r="P783">
        <v>43</v>
      </c>
      <c r="Q783" t="str">
        <f t="shared" si="64"/>
        <v>35 to 44 yrs</v>
      </c>
      <c r="R783" t="s">
        <v>20</v>
      </c>
    </row>
    <row r="784" spans="1:18">
      <c r="A784">
        <v>16112</v>
      </c>
      <c r="B784" t="s">
        <v>25</v>
      </c>
      <c r="C784" t="str">
        <f t="shared" si="60"/>
        <v>Single</v>
      </c>
      <c r="D784" t="s">
        <v>13</v>
      </c>
      <c r="E784" t="str">
        <f t="shared" si="61"/>
        <v>Male</v>
      </c>
      <c r="F784" s="3">
        <v>70000</v>
      </c>
      <c r="G784" s="3" t="str">
        <f t="shared" si="62"/>
        <v>Middle Class</v>
      </c>
      <c r="H784">
        <v>4</v>
      </c>
      <c r="I784" t="s">
        <v>15</v>
      </c>
      <c r="J784" t="s">
        <v>23</v>
      </c>
      <c r="K784" t="s">
        <v>17</v>
      </c>
      <c r="L784" t="str">
        <f t="shared" si="63"/>
        <v>Home Owner</v>
      </c>
      <c r="M784">
        <v>2</v>
      </c>
      <c r="N784" t="s">
        <v>24</v>
      </c>
      <c r="O784" t="s">
        <v>35</v>
      </c>
      <c r="P784">
        <v>43</v>
      </c>
      <c r="Q784" t="str">
        <f t="shared" si="64"/>
        <v>35 to 44 yrs</v>
      </c>
      <c r="R784" t="s">
        <v>17</v>
      </c>
    </row>
    <row r="785" spans="1:18">
      <c r="A785">
        <v>20698</v>
      </c>
      <c r="B785" t="s">
        <v>13</v>
      </c>
      <c r="C785" t="str">
        <f t="shared" si="60"/>
        <v>Married</v>
      </c>
      <c r="D785" t="s">
        <v>13</v>
      </c>
      <c r="E785" t="str">
        <f t="shared" si="61"/>
        <v>Male</v>
      </c>
      <c r="F785" s="3">
        <v>60000</v>
      </c>
      <c r="G785" s="3" t="str">
        <f t="shared" si="62"/>
        <v>Middle Class</v>
      </c>
      <c r="H785">
        <v>4</v>
      </c>
      <c r="I785" t="s">
        <v>15</v>
      </c>
      <c r="J785" t="s">
        <v>16</v>
      </c>
      <c r="K785" t="s">
        <v>17</v>
      </c>
      <c r="L785" t="str">
        <f t="shared" si="63"/>
        <v>Home Owner</v>
      </c>
      <c r="M785">
        <v>3</v>
      </c>
      <c r="N785" t="s">
        <v>26</v>
      </c>
      <c r="O785" t="s">
        <v>35</v>
      </c>
      <c r="P785">
        <v>42</v>
      </c>
      <c r="Q785" t="str">
        <f t="shared" si="64"/>
        <v>35 to 44 yrs</v>
      </c>
      <c r="R785" t="s">
        <v>20</v>
      </c>
    </row>
    <row r="786" spans="1:18">
      <c r="A786">
        <v>20076</v>
      </c>
      <c r="B786" t="s">
        <v>25</v>
      </c>
      <c r="C786" t="str">
        <f t="shared" si="60"/>
        <v>Single</v>
      </c>
      <c r="D786" t="s">
        <v>14</v>
      </c>
      <c r="E786" t="str">
        <f t="shared" si="61"/>
        <v>Female</v>
      </c>
      <c r="F786" s="3">
        <v>10000</v>
      </c>
      <c r="G786" s="3" t="str">
        <f t="shared" si="62"/>
        <v>Lower Class</v>
      </c>
      <c r="H786">
        <v>2</v>
      </c>
      <c r="I786" t="s">
        <v>30</v>
      </c>
      <c r="J786" t="s">
        <v>28</v>
      </c>
      <c r="K786" t="s">
        <v>17</v>
      </c>
      <c r="L786" t="str">
        <f t="shared" si="63"/>
        <v>Home Owner</v>
      </c>
      <c r="M786">
        <v>2</v>
      </c>
      <c r="N786" t="s">
        <v>29</v>
      </c>
      <c r="O786" t="s">
        <v>35</v>
      </c>
      <c r="P786">
        <v>53</v>
      </c>
      <c r="Q786" t="str">
        <f t="shared" si="64"/>
        <v>45 to 54 yrs</v>
      </c>
      <c r="R786" t="s">
        <v>17</v>
      </c>
    </row>
    <row r="787" spans="1:18">
      <c r="A787">
        <v>24496</v>
      </c>
      <c r="B787" t="s">
        <v>25</v>
      </c>
      <c r="C787" t="str">
        <f t="shared" si="60"/>
        <v>Single</v>
      </c>
      <c r="D787" t="s">
        <v>14</v>
      </c>
      <c r="E787" t="str">
        <f t="shared" si="61"/>
        <v>Female</v>
      </c>
      <c r="F787" s="3">
        <v>40000</v>
      </c>
      <c r="G787" s="3" t="str">
        <f t="shared" si="62"/>
        <v>Lower Class</v>
      </c>
      <c r="H787">
        <v>0</v>
      </c>
      <c r="I787" t="s">
        <v>30</v>
      </c>
      <c r="J787" t="s">
        <v>16</v>
      </c>
      <c r="K787" t="s">
        <v>20</v>
      </c>
      <c r="L787" t="str">
        <f t="shared" si="63"/>
        <v>Tenant</v>
      </c>
      <c r="M787">
        <v>2</v>
      </c>
      <c r="N787" t="s">
        <v>18</v>
      </c>
      <c r="O787" t="s">
        <v>35</v>
      </c>
      <c r="P787">
        <v>28</v>
      </c>
      <c r="Q787" t="str">
        <f t="shared" si="64"/>
        <v>25 to 34 yrs</v>
      </c>
      <c r="R787" t="s">
        <v>17</v>
      </c>
    </row>
    <row r="788" spans="1:18">
      <c r="A788">
        <v>15468</v>
      </c>
      <c r="B788" t="s">
        <v>13</v>
      </c>
      <c r="C788" t="str">
        <f t="shared" si="60"/>
        <v>Married</v>
      </c>
      <c r="D788" t="s">
        <v>14</v>
      </c>
      <c r="E788" t="str">
        <f t="shared" si="61"/>
        <v>Female</v>
      </c>
      <c r="F788" s="3">
        <v>50000</v>
      </c>
      <c r="G788" s="3" t="str">
        <f t="shared" si="62"/>
        <v>Lower Class</v>
      </c>
      <c r="H788">
        <v>1</v>
      </c>
      <c r="I788" t="s">
        <v>15</v>
      </c>
      <c r="J788" t="s">
        <v>16</v>
      </c>
      <c r="K788" t="s">
        <v>17</v>
      </c>
      <c r="L788" t="str">
        <f t="shared" si="63"/>
        <v>Home Owner</v>
      </c>
      <c r="M788">
        <v>1</v>
      </c>
      <c r="N788" t="s">
        <v>18</v>
      </c>
      <c r="O788" t="s">
        <v>35</v>
      </c>
      <c r="P788">
        <v>35</v>
      </c>
      <c r="Q788" t="str">
        <f t="shared" si="64"/>
        <v>35 to 44 yrs</v>
      </c>
      <c r="R788" t="s">
        <v>20</v>
      </c>
    </row>
    <row r="789" spans="1:18">
      <c r="A789">
        <v>28031</v>
      </c>
      <c r="B789" t="s">
        <v>25</v>
      </c>
      <c r="C789" t="str">
        <f t="shared" si="60"/>
        <v>Single</v>
      </c>
      <c r="D789" t="s">
        <v>14</v>
      </c>
      <c r="E789" t="str">
        <f t="shared" si="61"/>
        <v>Female</v>
      </c>
      <c r="F789" s="3">
        <v>70000</v>
      </c>
      <c r="G789" s="3" t="str">
        <f t="shared" si="62"/>
        <v>Middle Class</v>
      </c>
      <c r="H789">
        <v>2</v>
      </c>
      <c r="I789" t="s">
        <v>15</v>
      </c>
      <c r="J789" t="s">
        <v>31</v>
      </c>
      <c r="K789" t="s">
        <v>20</v>
      </c>
      <c r="L789" t="str">
        <f t="shared" si="63"/>
        <v>Tenant</v>
      </c>
      <c r="M789">
        <v>1</v>
      </c>
      <c r="N789" t="s">
        <v>24</v>
      </c>
      <c r="O789" t="s">
        <v>35</v>
      </c>
      <c r="P789">
        <v>59</v>
      </c>
      <c r="Q789" t="str">
        <f t="shared" si="64"/>
        <v>55 to 64 yrs</v>
      </c>
      <c r="R789" t="s">
        <v>17</v>
      </c>
    </row>
    <row r="790" spans="1:18">
      <c r="A790">
        <v>26270</v>
      </c>
      <c r="B790" t="s">
        <v>25</v>
      </c>
      <c r="C790" t="str">
        <f t="shared" si="60"/>
        <v>Single</v>
      </c>
      <c r="D790" t="s">
        <v>14</v>
      </c>
      <c r="E790" t="str">
        <f t="shared" si="61"/>
        <v>Female</v>
      </c>
      <c r="F790" s="3">
        <v>20000</v>
      </c>
      <c r="G790" s="3" t="str">
        <f t="shared" si="62"/>
        <v>Lower Class</v>
      </c>
      <c r="H790">
        <v>2</v>
      </c>
      <c r="I790" t="s">
        <v>32</v>
      </c>
      <c r="J790" t="s">
        <v>22</v>
      </c>
      <c r="K790" t="s">
        <v>17</v>
      </c>
      <c r="L790" t="str">
        <f t="shared" si="63"/>
        <v>Home Owner</v>
      </c>
      <c r="M790">
        <v>2</v>
      </c>
      <c r="N790" t="s">
        <v>29</v>
      </c>
      <c r="O790" t="s">
        <v>35</v>
      </c>
      <c r="P790">
        <v>49</v>
      </c>
      <c r="Q790" t="str">
        <f t="shared" si="64"/>
        <v>45 to 54 yrs</v>
      </c>
      <c r="R790" t="s">
        <v>20</v>
      </c>
    </row>
    <row r="791" spans="1:18">
      <c r="A791">
        <v>22221</v>
      </c>
      <c r="B791" t="s">
        <v>13</v>
      </c>
      <c r="C791" t="str">
        <f t="shared" si="60"/>
        <v>Married</v>
      </c>
      <c r="D791" t="s">
        <v>13</v>
      </c>
      <c r="E791" t="str">
        <f t="shared" si="61"/>
        <v>Male</v>
      </c>
      <c r="F791" s="3">
        <v>60000</v>
      </c>
      <c r="G791" s="3" t="str">
        <f t="shared" si="62"/>
        <v>Middle Class</v>
      </c>
      <c r="H791">
        <v>2</v>
      </c>
      <c r="I791" t="s">
        <v>30</v>
      </c>
      <c r="J791" t="s">
        <v>23</v>
      </c>
      <c r="K791" t="s">
        <v>20</v>
      </c>
      <c r="L791" t="str">
        <f t="shared" si="63"/>
        <v>Tenant</v>
      </c>
      <c r="M791">
        <v>2</v>
      </c>
      <c r="N791" t="s">
        <v>29</v>
      </c>
      <c r="O791" t="s">
        <v>35</v>
      </c>
      <c r="P791">
        <v>48</v>
      </c>
      <c r="Q791" t="str">
        <f t="shared" si="64"/>
        <v>45 to 54 yrs</v>
      </c>
      <c r="R791" t="s">
        <v>17</v>
      </c>
    </row>
    <row r="792" spans="1:18">
      <c r="A792">
        <v>28228</v>
      </c>
      <c r="B792" t="s">
        <v>25</v>
      </c>
      <c r="C792" t="str">
        <f t="shared" si="60"/>
        <v>Single</v>
      </c>
      <c r="D792" t="s">
        <v>14</v>
      </c>
      <c r="E792" t="str">
        <f t="shared" si="61"/>
        <v>Female</v>
      </c>
      <c r="F792" s="3">
        <v>80000</v>
      </c>
      <c r="G792" s="3" t="str">
        <f t="shared" si="62"/>
        <v>Middle Class</v>
      </c>
      <c r="H792">
        <v>2</v>
      </c>
      <c r="I792" t="s">
        <v>32</v>
      </c>
      <c r="J792" t="s">
        <v>16</v>
      </c>
      <c r="K792" t="s">
        <v>20</v>
      </c>
      <c r="L792" t="str">
        <f t="shared" si="63"/>
        <v>Tenant</v>
      </c>
      <c r="M792">
        <v>2</v>
      </c>
      <c r="N792" t="s">
        <v>29</v>
      </c>
      <c r="O792" t="s">
        <v>35</v>
      </c>
      <c r="P792">
        <v>50</v>
      </c>
      <c r="Q792" t="str">
        <f t="shared" si="64"/>
        <v>45 to 54 yrs</v>
      </c>
      <c r="R792" t="s">
        <v>20</v>
      </c>
    </row>
    <row r="793" spans="1:18">
      <c r="A793">
        <v>18363</v>
      </c>
      <c r="B793" t="s">
        <v>13</v>
      </c>
      <c r="C793" t="str">
        <f t="shared" si="60"/>
        <v>Married</v>
      </c>
      <c r="D793" t="s">
        <v>13</v>
      </c>
      <c r="E793" t="str">
        <f t="shared" si="61"/>
        <v>Male</v>
      </c>
      <c r="F793" s="3">
        <v>40000</v>
      </c>
      <c r="G793" s="3" t="str">
        <f t="shared" si="62"/>
        <v>Lower Class</v>
      </c>
      <c r="H793">
        <v>0</v>
      </c>
      <c r="I793" t="s">
        <v>30</v>
      </c>
      <c r="J793" t="s">
        <v>16</v>
      </c>
      <c r="K793" t="s">
        <v>17</v>
      </c>
      <c r="L793" t="str">
        <f t="shared" si="63"/>
        <v>Home Owner</v>
      </c>
      <c r="M793">
        <v>2</v>
      </c>
      <c r="N793" t="s">
        <v>26</v>
      </c>
      <c r="O793" t="s">
        <v>35</v>
      </c>
      <c r="P793">
        <v>28</v>
      </c>
      <c r="Q793" t="str">
        <f t="shared" si="64"/>
        <v>25 to 34 yrs</v>
      </c>
      <c r="R793" t="s">
        <v>17</v>
      </c>
    </row>
    <row r="794" spans="1:18">
      <c r="A794">
        <v>23256</v>
      </c>
      <c r="B794" t="s">
        <v>25</v>
      </c>
      <c r="C794" t="str">
        <f t="shared" si="60"/>
        <v>Single</v>
      </c>
      <c r="D794" t="s">
        <v>13</v>
      </c>
      <c r="E794" t="str">
        <f t="shared" si="61"/>
        <v>Male</v>
      </c>
      <c r="F794" s="3">
        <v>30000</v>
      </c>
      <c r="G794" s="3" t="str">
        <f t="shared" si="62"/>
        <v>Lower Class</v>
      </c>
      <c r="H794">
        <v>1</v>
      </c>
      <c r="I794" t="s">
        <v>30</v>
      </c>
      <c r="J794" t="s">
        <v>22</v>
      </c>
      <c r="K794" t="s">
        <v>20</v>
      </c>
      <c r="L794" t="str">
        <f t="shared" si="63"/>
        <v>Tenant</v>
      </c>
      <c r="M794">
        <v>1</v>
      </c>
      <c r="N794" t="s">
        <v>26</v>
      </c>
      <c r="O794" t="s">
        <v>35</v>
      </c>
      <c r="P794">
        <v>52</v>
      </c>
      <c r="Q794" t="str">
        <f t="shared" si="64"/>
        <v>45 to 54 yrs</v>
      </c>
      <c r="R794" t="s">
        <v>20</v>
      </c>
    </row>
    <row r="795" spans="1:18">
      <c r="A795">
        <v>12768</v>
      </c>
      <c r="B795" t="s">
        <v>13</v>
      </c>
      <c r="C795" t="str">
        <f t="shared" si="60"/>
        <v>Married</v>
      </c>
      <c r="D795" t="s">
        <v>13</v>
      </c>
      <c r="E795" t="str">
        <f t="shared" si="61"/>
        <v>Male</v>
      </c>
      <c r="F795" s="3">
        <v>30000</v>
      </c>
      <c r="G795" s="3" t="str">
        <f t="shared" si="62"/>
        <v>Lower Class</v>
      </c>
      <c r="H795">
        <v>1</v>
      </c>
      <c r="I795" t="s">
        <v>30</v>
      </c>
      <c r="J795" t="s">
        <v>22</v>
      </c>
      <c r="K795" t="s">
        <v>17</v>
      </c>
      <c r="L795" t="str">
        <f t="shared" si="63"/>
        <v>Home Owner</v>
      </c>
      <c r="M795">
        <v>1</v>
      </c>
      <c r="N795" t="s">
        <v>24</v>
      </c>
      <c r="O795" t="s">
        <v>35</v>
      </c>
      <c r="P795">
        <v>52</v>
      </c>
      <c r="Q795" t="str">
        <f t="shared" si="64"/>
        <v>45 to 54 yrs</v>
      </c>
      <c r="R795" t="s">
        <v>17</v>
      </c>
    </row>
    <row r="796" spans="1:18">
      <c r="A796">
        <v>20361</v>
      </c>
      <c r="B796" t="s">
        <v>13</v>
      </c>
      <c r="C796" t="str">
        <f t="shared" si="60"/>
        <v>Married</v>
      </c>
      <c r="D796" t="s">
        <v>13</v>
      </c>
      <c r="E796" t="str">
        <f t="shared" si="61"/>
        <v>Male</v>
      </c>
      <c r="F796" s="3">
        <v>50000</v>
      </c>
      <c r="G796" s="3" t="str">
        <f t="shared" si="62"/>
        <v>Lower Class</v>
      </c>
      <c r="H796">
        <v>2</v>
      </c>
      <c r="I796" t="s">
        <v>34</v>
      </c>
      <c r="J796" t="s">
        <v>31</v>
      </c>
      <c r="K796" t="s">
        <v>17</v>
      </c>
      <c r="L796" t="str">
        <f t="shared" si="63"/>
        <v>Home Owner</v>
      </c>
      <c r="M796">
        <v>2</v>
      </c>
      <c r="N796" t="s">
        <v>26</v>
      </c>
      <c r="O796" t="s">
        <v>35</v>
      </c>
      <c r="P796">
        <v>69</v>
      </c>
      <c r="Q796" t="str">
        <f t="shared" si="64"/>
        <v>65 yrs &amp; Above</v>
      </c>
      <c r="R796" t="s">
        <v>20</v>
      </c>
    </row>
    <row r="797" spans="1:18">
      <c r="A797">
        <v>21306</v>
      </c>
      <c r="B797" t="s">
        <v>25</v>
      </c>
      <c r="C797" t="str">
        <f t="shared" si="60"/>
        <v>Single</v>
      </c>
      <c r="D797" t="s">
        <v>13</v>
      </c>
      <c r="E797" t="str">
        <f t="shared" si="61"/>
        <v>Male</v>
      </c>
      <c r="F797" s="3">
        <v>60000</v>
      </c>
      <c r="G797" s="3" t="str">
        <f t="shared" si="62"/>
        <v>Middle Class</v>
      </c>
      <c r="H797">
        <v>2</v>
      </c>
      <c r="I797" t="s">
        <v>30</v>
      </c>
      <c r="J797" t="s">
        <v>23</v>
      </c>
      <c r="K797" t="s">
        <v>17</v>
      </c>
      <c r="L797" t="str">
        <f t="shared" si="63"/>
        <v>Home Owner</v>
      </c>
      <c r="M797">
        <v>2</v>
      </c>
      <c r="N797" t="s">
        <v>26</v>
      </c>
      <c r="O797" t="s">
        <v>35</v>
      </c>
      <c r="P797">
        <v>51</v>
      </c>
      <c r="Q797" t="str">
        <f t="shared" si="64"/>
        <v>45 to 54 yrs</v>
      </c>
      <c r="R797" t="s">
        <v>20</v>
      </c>
    </row>
    <row r="798" spans="1:18">
      <c r="A798">
        <v>13382</v>
      </c>
      <c r="B798" t="s">
        <v>13</v>
      </c>
      <c r="C798" t="str">
        <f t="shared" si="60"/>
        <v>Married</v>
      </c>
      <c r="D798" t="s">
        <v>13</v>
      </c>
      <c r="E798" t="str">
        <f t="shared" si="61"/>
        <v>Male</v>
      </c>
      <c r="F798" s="3">
        <v>70000</v>
      </c>
      <c r="G798" s="3" t="str">
        <f t="shared" si="62"/>
        <v>Middle Class</v>
      </c>
      <c r="H798">
        <v>5</v>
      </c>
      <c r="I798" t="s">
        <v>21</v>
      </c>
      <c r="J798" t="s">
        <v>23</v>
      </c>
      <c r="K798" t="s">
        <v>17</v>
      </c>
      <c r="L798" t="str">
        <f t="shared" si="63"/>
        <v>Home Owner</v>
      </c>
      <c r="M798">
        <v>2</v>
      </c>
      <c r="N798" t="s">
        <v>29</v>
      </c>
      <c r="O798" t="s">
        <v>35</v>
      </c>
      <c r="P798">
        <v>57</v>
      </c>
      <c r="Q798" t="str">
        <f t="shared" si="64"/>
        <v>55 to 64 yrs</v>
      </c>
      <c r="R798" t="s">
        <v>17</v>
      </c>
    </row>
    <row r="799" spans="1:18">
      <c r="A799">
        <v>20310</v>
      </c>
      <c r="B799" t="s">
        <v>25</v>
      </c>
      <c r="C799" t="str">
        <f t="shared" si="60"/>
        <v>Single</v>
      </c>
      <c r="D799" t="s">
        <v>13</v>
      </c>
      <c r="E799" t="str">
        <f t="shared" si="61"/>
        <v>Male</v>
      </c>
      <c r="F799" s="3">
        <v>60000</v>
      </c>
      <c r="G799" s="3" t="str">
        <f t="shared" si="62"/>
        <v>Middle Class</v>
      </c>
      <c r="H799">
        <v>0</v>
      </c>
      <c r="I799" t="s">
        <v>21</v>
      </c>
      <c r="J799" t="s">
        <v>16</v>
      </c>
      <c r="K799" t="s">
        <v>17</v>
      </c>
      <c r="L799" t="str">
        <f t="shared" si="63"/>
        <v>Home Owner</v>
      </c>
      <c r="M799">
        <v>1</v>
      </c>
      <c r="N799" t="s">
        <v>26</v>
      </c>
      <c r="O799" t="s">
        <v>35</v>
      </c>
      <c r="P799">
        <v>27</v>
      </c>
      <c r="Q799" t="str">
        <f t="shared" si="64"/>
        <v>25 to 34 yrs</v>
      </c>
      <c r="R799" t="s">
        <v>17</v>
      </c>
    </row>
    <row r="800" spans="1:18">
      <c r="A800">
        <v>22971</v>
      </c>
      <c r="B800" t="s">
        <v>25</v>
      </c>
      <c r="C800" t="str">
        <f t="shared" si="60"/>
        <v>Single</v>
      </c>
      <c r="D800" t="s">
        <v>14</v>
      </c>
      <c r="E800" t="str">
        <f t="shared" si="61"/>
        <v>Female</v>
      </c>
      <c r="F800" s="3">
        <v>30000</v>
      </c>
      <c r="G800" s="3" t="str">
        <f t="shared" si="62"/>
        <v>Lower Class</v>
      </c>
      <c r="H800">
        <v>0</v>
      </c>
      <c r="I800" t="s">
        <v>30</v>
      </c>
      <c r="J800" t="s">
        <v>16</v>
      </c>
      <c r="K800" t="s">
        <v>20</v>
      </c>
      <c r="L800" t="str">
        <f t="shared" si="63"/>
        <v>Tenant</v>
      </c>
      <c r="M800">
        <v>2</v>
      </c>
      <c r="N800" t="s">
        <v>18</v>
      </c>
      <c r="O800" t="s">
        <v>35</v>
      </c>
      <c r="P800">
        <v>25</v>
      </c>
      <c r="Q800" t="str">
        <f t="shared" si="64"/>
        <v>25 to 34 yrs</v>
      </c>
      <c r="R800" t="s">
        <v>17</v>
      </c>
    </row>
    <row r="801" spans="1:18">
      <c r="A801">
        <v>15287</v>
      </c>
      <c r="B801" t="s">
        <v>25</v>
      </c>
      <c r="C801" t="str">
        <f t="shared" si="60"/>
        <v>Single</v>
      </c>
      <c r="D801" t="s">
        <v>14</v>
      </c>
      <c r="E801" t="str">
        <f t="shared" si="61"/>
        <v>Female</v>
      </c>
      <c r="F801" s="3">
        <v>50000</v>
      </c>
      <c r="G801" s="3" t="str">
        <f t="shared" si="62"/>
        <v>Lower Class</v>
      </c>
      <c r="H801">
        <v>1</v>
      </c>
      <c r="I801" t="s">
        <v>34</v>
      </c>
      <c r="J801" t="s">
        <v>16</v>
      </c>
      <c r="K801" t="s">
        <v>17</v>
      </c>
      <c r="L801" t="str">
        <f t="shared" si="63"/>
        <v>Home Owner</v>
      </c>
      <c r="M801">
        <v>0</v>
      </c>
      <c r="N801" t="s">
        <v>29</v>
      </c>
      <c r="O801" t="s">
        <v>35</v>
      </c>
      <c r="P801">
        <v>33</v>
      </c>
      <c r="Q801" t="str">
        <f t="shared" si="64"/>
        <v>25 to 34 yrs</v>
      </c>
      <c r="R801" t="s">
        <v>17</v>
      </c>
    </row>
    <row r="802" spans="1:18">
      <c r="A802">
        <v>15532</v>
      </c>
      <c r="B802" t="s">
        <v>25</v>
      </c>
      <c r="C802" t="str">
        <f t="shared" si="60"/>
        <v>Single</v>
      </c>
      <c r="D802" t="s">
        <v>13</v>
      </c>
      <c r="E802" t="str">
        <f t="shared" si="61"/>
        <v>Male</v>
      </c>
      <c r="F802" s="3">
        <v>60000</v>
      </c>
      <c r="G802" s="3" t="str">
        <f t="shared" si="62"/>
        <v>Middle Class</v>
      </c>
      <c r="H802">
        <v>4</v>
      </c>
      <c r="I802" t="s">
        <v>15</v>
      </c>
      <c r="J802" t="s">
        <v>23</v>
      </c>
      <c r="K802" t="s">
        <v>17</v>
      </c>
      <c r="L802" t="str">
        <f t="shared" si="63"/>
        <v>Home Owner</v>
      </c>
      <c r="M802">
        <v>2</v>
      </c>
      <c r="N802" t="s">
        <v>24</v>
      </c>
      <c r="O802" t="s">
        <v>35</v>
      </c>
      <c r="P802">
        <v>43</v>
      </c>
      <c r="Q802" t="str">
        <f t="shared" si="64"/>
        <v>35 to 44 yrs</v>
      </c>
      <c r="R802" t="s">
        <v>17</v>
      </c>
    </row>
    <row r="803" spans="1:18">
      <c r="A803">
        <v>11255</v>
      </c>
      <c r="B803" t="s">
        <v>13</v>
      </c>
      <c r="C803" t="str">
        <f t="shared" si="60"/>
        <v>Married</v>
      </c>
      <c r="D803" t="s">
        <v>13</v>
      </c>
      <c r="E803" t="str">
        <f t="shared" si="61"/>
        <v>Male</v>
      </c>
      <c r="F803" s="3">
        <v>70000</v>
      </c>
      <c r="G803" s="3" t="str">
        <f t="shared" si="62"/>
        <v>Middle Class</v>
      </c>
      <c r="H803">
        <v>4</v>
      </c>
      <c r="I803" t="s">
        <v>34</v>
      </c>
      <c r="J803" t="s">
        <v>31</v>
      </c>
      <c r="K803" t="s">
        <v>17</v>
      </c>
      <c r="L803" t="str">
        <f t="shared" si="63"/>
        <v>Home Owner</v>
      </c>
      <c r="M803">
        <v>2</v>
      </c>
      <c r="N803" t="s">
        <v>26</v>
      </c>
      <c r="O803" t="s">
        <v>35</v>
      </c>
      <c r="P803">
        <v>73</v>
      </c>
      <c r="Q803" t="str">
        <f t="shared" si="64"/>
        <v>65 yrs &amp; Above</v>
      </c>
      <c r="R803" t="s">
        <v>20</v>
      </c>
    </row>
    <row r="804" spans="1:18">
      <c r="A804">
        <v>28090</v>
      </c>
      <c r="B804" t="s">
        <v>13</v>
      </c>
      <c r="C804" t="str">
        <f t="shared" si="60"/>
        <v>Married</v>
      </c>
      <c r="D804" t="s">
        <v>13</v>
      </c>
      <c r="E804" t="str">
        <f t="shared" si="61"/>
        <v>Male</v>
      </c>
      <c r="F804" s="3">
        <v>40000</v>
      </c>
      <c r="G804" s="3" t="str">
        <f t="shared" si="62"/>
        <v>Lower Class</v>
      </c>
      <c r="H804">
        <v>0</v>
      </c>
      <c r="I804" t="s">
        <v>21</v>
      </c>
      <c r="J804" t="s">
        <v>16</v>
      </c>
      <c r="K804" t="s">
        <v>17</v>
      </c>
      <c r="L804" t="str">
        <f t="shared" si="63"/>
        <v>Home Owner</v>
      </c>
      <c r="M804">
        <v>1</v>
      </c>
      <c r="N804" t="s">
        <v>26</v>
      </c>
      <c r="O804" t="s">
        <v>35</v>
      </c>
      <c r="P804">
        <v>27</v>
      </c>
      <c r="Q804" t="str">
        <f t="shared" si="64"/>
        <v>25 to 34 yrs</v>
      </c>
      <c r="R804" t="s">
        <v>20</v>
      </c>
    </row>
    <row r="805" spans="1:18">
      <c r="A805">
        <v>15255</v>
      </c>
      <c r="B805" t="s">
        <v>13</v>
      </c>
      <c r="C805" t="str">
        <f t="shared" si="60"/>
        <v>Married</v>
      </c>
      <c r="D805" t="s">
        <v>13</v>
      </c>
      <c r="E805" t="str">
        <f t="shared" si="61"/>
        <v>Male</v>
      </c>
      <c r="F805" s="3">
        <v>40000</v>
      </c>
      <c r="G805" s="3" t="str">
        <f t="shared" si="62"/>
        <v>Lower Class</v>
      </c>
      <c r="H805">
        <v>0</v>
      </c>
      <c r="I805" t="s">
        <v>30</v>
      </c>
      <c r="J805" t="s">
        <v>16</v>
      </c>
      <c r="K805" t="s">
        <v>17</v>
      </c>
      <c r="L805" t="str">
        <f t="shared" si="63"/>
        <v>Home Owner</v>
      </c>
      <c r="M805">
        <v>2</v>
      </c>
      <c r="N805" t="s">
        <v>26</v>
      </c>
      <c r="O805" t="s">
        <v>35</v>
      </c>
      <c r="P805">
        <v>28</v>
      </c>
      <c r="Q805" t="str">
        <f t="shared" si="64"/>
        <v>25 to 34 yrs</v>
      </c>
      <c r="R805" t="s">
        <v>17</v>
      </c>
    </row>
    <row r="806" spans="1:18">
      <c r="A806">
        <v>13154</v>
      </c>
      <c r="B806" t="s">
        <v>13</v>
      </c>
      <c r="C806" t="str">
        <f t="shared" si="60"/>
        <v>Married</v>
      </c>
      <c r="D806" t="s">
        <v>13</v>
      </c>
      <c r="E806" t="str">
        <f t="shared" si="61"/>
        <v>Male</v>
      </c>
      <c r="F806" s="3">
        <v>40000</v>
      </c>
      <c r="G806" s="3" t="str">
        <f t="shared" si="62"/>
        <v>Lower Class</v>
      </c>
      <c r="H806">
        <v>0</v>
      </c>
      <c r="I806" t="s">
        <v>30</v>
      </c>
      <c r="J806" t="s">
        <v>16</v>
      </c>
      <c r="K806" t="s">
        <v>20</v>
      </c>
      <c r="L806" t="str">
        <f t="shared" si="63"/>
        <v>Tenant</v>
      </c>
      <c r="M806">
        <v>2</v>
      </c>
      <c r="N806" t="s">
        <v>18</v>
      </c>
      <c r="O806" t="s">
        <v>35</v>
      </c>
      <c r="P806">
        <v>27</v>
      </c>
      <c r="Q806" t="str">
        <f t="shared" si="64"/>
        <v>25 to 34 yrs</v>
      </c>
      <c r="R806" t="s">
        <v>17</v>
      </c>
    </row>
    <row r="807" spans="1:18">
      <c r="A807">
        <v>26778</v>
      </c>
      <c r="B807" t="s">
        <v>25</v>
      </c>
      <c r="C807" t="str">
        <f t="shared" si="60"/>
        <v>Single</v>
      </c>
      <c r="D807" t="s">
        <v>14</v>
      </c>
      <c r="E807" t="str">
        <f t="shared" si="61"/>
        <v>Female</v>
      </c>
      <c r="F807" s="3">
        <v>40000</v>
      </c>
      <c r="G807" s="3" t="str">
        <f t="shared" si="62"/>
        <v>Lower Class</v>
      </c>
      <c r="H807">
        <v>0</v>
      </c>
      <c r="I807" t="s">
        <v>30</v>
      </c>
      <c r="J807" t="s">
        <v>16</v>
      </c>
      <c r="K807" t="s">
        <v>17</v>
      </c>
      <c r="L807" t="str">
        <f t="shared" si="63"/>
        <v>Home Owner</v>
      </c>
      <c r="M807">
        <v>2</v>
      </c>
      <c r="N807" t="s">
        <v>26</v>
      </c>
      <c r="O807" t="s">
        <v>35</v>
      </c>
      <c r="P807">
        <v>31</v>
      </c>
      <c r="Q807" t="str">
        <f t="shared" si="64"/>
        <v>25 to 34 yrs</v>
      </c>
      <c r="R807" t="s">
        <v>20</v>
      </c>
    </row>
    <row r="808" spans="1:18">
      <c r="A808">
        <v>23248</v>
      </c>
      <c r="B808" t="s">
        <v>13</v>
      </c>
      <c r="C808" t="str">
        <f t="shared" si="60"/>
        <v>Married</v>
      </c>
      <c r="D808" t="s">
        <v>14</v>
      </c>
      <c r="E808" t="str">
        <f t="shared" si="61"/>
        <v>Female</v>
      </c>
      <c r="F808" s="3">
        <v>10000</v>
      </c>
      <c r="G808" s="3" t="str">
        <f t="shared" si="62"/>
        <v>Lower Class</v>
      </c>
      <c r="H808">
        <v>2</v>
      </c>
      <c r="I808" t="s">
        <v>30</v>
      </c>
      <c r="J808" t="s">
        <v>28</v>
      </c>
      <c r="K808" t="s">
        <v>17</v>
      </c>
      <c r="L808" t="str">
        <f t="shared" si="63"/>
        <v>Home Owner</v>
      </c>
      <c r="M808">
        <v>2</v>
      </c>
      <c r="N808" t="s">
        <v>29</v>
      </c>
      <c r="O808" t="s">
        <v>35</v>
      </c>
      <c r="P808">
        <v>53</v>
      </c>
      <c r="Q808" t="str">
        <f t="shared" si="64"/>
        <v>45 to 54 yrs</v>
      </c>
      <c r="R808" t="s">
        <v>20</v>
      </c>
    </row>
    <row r="809" spans="1:18">
      <c r="A809">
        <v>21417</v>
      </c>
      <c r="B809" t="s">
        <v>25</v>
      </c>
      <c r="C809" t="str">
        <f t="shared" si="60"/>
        <v>Single</v>
      </c>
      <c r="D809" t="s">
        <v>14</v>
      </c>
      <c r="E809" t="str">
        <f t="shared" si="61"/>
        <v>Female</v>
      </c>
      <c r="F809" s="3">
        <v>60000</v>
      </c>
      <c r="G809" s="3" t="str">
        <f t="shared" si="62"/>
        <v>Middle Class</v>
      </c>
      <c r="H809">
        <v>0</v>
      </c>
      <c r="I809" t="s">
        <v>21</v>
      </c>
      <c r="J809" t="s">
        <v>23</v>
      </c>
      <c r="K809" t="s">
        <v>20</v>
      </c>
      <c r="L809" t="str">
        <f t="shared" si="63"/>
        <v>Tenant</v>
      </c>
      <c r="M809">
        <v>2</v>
      </c>
      <c r="N809" t="s">
        <v>29</v>
      </c>
      <c r="O809" t="s">
        <v>35</v>
      </c>
      <c r="P809">
        <v>32</v>
      </c>
      <c r="Q809" t="str">
        <f t="shared" si="64"/>
        <v>25 to 34 yrs</v>
      </c>
      <c r="R809" t="s">
        <v>17</v>
      </c>
    </row>
    <row r="810" spans="1:18">
      <c r="A810">
        <v>17668</v>
      </c>
      <c r="B810" t="s">
        <v>25</v>
      </c>
      <c r="C810" t="str">
        <f t="shared" si="60"/>
        <v>Single</v>
      </c>
      <c r="D810" t="s">
        <v>13</v>
      </c>
      <c r="E810" t="str">
        <f t="shared" si="61"/>
        <v>Male</v>
      </c>
      <c r="F810" s="3">
        <v>30000</v>
      </c>
      <c r="G810" s="3" t="str">
        <f t="shared" si="62"/>
        <v>Lower Class</v>
      </c>
      <c r="H810">
        <v>2</v>
      </c>
      <c r="I810" t="s">
        <v>30</v>
      </c>
      <c r="J810" t="s">
        <v>16</v>
      </c>
      <c r="K810" t="s">
        <v>17</v>
      </c>
      <c r="L810" t="str">
        <f t="shared" si="63"/>
        <v>Home Owner</v>
      </c>
      <c r="M810">
        <v>2</v>
      </c>
      <c r="N810" t="s">
        <v>29</v>
      </c>
      <c r="O810" t="s">
        <v>35</v>
      </c>
      <c r="P810">
        <v>50</v>
      </c>
      <c r="Q810" t="str">
        <f t="shared" si="64"/>
        <v>45 to 54 yrs</v>
      </c>
      <c r="R810" t="s">
        <v>17</v>
      </c>
    </row>
    <row r="811" spans="1:18">
      <c r="A811">
        <v>27994</v>
      </c>
      <c r="B811" t="s">
        <v>13</v>
      </c>
      <c r="C811" t="str">
        <f t="shared" si="60"/>
        <v>Married</v>
      </c>
      <c r="D811" t="s">
        <v>14</v>
      </c>
      <c r="E811" t="str">
        <f t="shared" si="61"/>
        <v>Female</v>
      </c>
      <c r="F811" s="3">
        <v>40000</v>
      </c>
      <c r="G811" s="3" t="str">
        <f t="shared" si="62"/>
        <v>Lower Class</v>
      </c>
      <c r="H811">
        <v>4</v>
      </c>
      <c r="I811" t="s">
        <v>30</v>
      </c>
      <c r="J811" t="s">
        <v>23</v>
      </c>
      <c r="K811" t="s">
        <v>17</v>
      </c>
      <c r="L811" t="str">
        <f t="shared" si="63"/>
        <v>Home Owner</v>
      </c>
      <c r="M811">
        <v>2</v>
      </c>
      <c r="N811" t="s">
        <v>26</v>
      </c>
      <c r="O811" t="s">
        <v>35</v>
      </c>
      <c r="P811">
        <v>69</v>
      </c>
      <c r="Q811" t="str">
        <f t="shared" si="64"/>
        <v>65 yrs &amp; Above</v>
      </c>
      <c r="R811" t="s">
        <v>20</v>
      </c>
    </row>
    <row r="812" spans="1:18">
      <c r="A812">
        <v>20376</v>
      </c>
      <c r="B812" t="s">
        <v>25</v>
      </c>
      <c r="C812" t="str">
        <f t="shared" si="60"/>
        <v>Single</v>
      </c>
      <c r="D812" t="s">
        <v>14</v>
      </c>
      <c r="E812" t="str">
        <f t="shared" si="61"/>
        <v>Female</v>
      </c>
      <c r="F812" s="3">
        <v>70000</v>
      </c>
      <c r="G812" s="3" t="str">
        <f t="shared" si="62"/>
        <v>Middle Class</v>
      </c>
      <c r="H812">
        <v>3</v>
      </c>
      <c r="I812" t="s">
        <v>34</v>
      </c>
      <c r="J812" t="s">
        <v>31</v>
      </c>
      <c r="K812" t="s">
        <v>17</v>
      </c>
      <c r="L812" t="str">
        <f t="shared" si="63"/>
        <v>Home Owner</v>
      </c>
      <c r="M812">
        <v>2</v>
      </c>
      <c r="N812" t="s">
        <v>26</v>
      </c>
      <c r="O812" t="s">
        <v>35</v>
      </c>
      <c r="P812">
        <v>52</v>
      </c>
      <c r="Q812" t="str">
        <f t="shared" si="64"/>
        <v>45 to 54 yrs</v>
      </c>
      <c r="R812" t="s">
        <v>17</v>
      </c>
    </row>
    <row r="813" spans="1:18">
      <c r="A813">
        <v>25954</v>
      </c>
      <c r="B813" t="s">
        <v>13</v>
      </c>
      <c r="C813" t="str">
        <f t="shared" si="60"/>
        <v>Married</v>
      </c>
      <c r="D813" t="s">
        <v>13</v>
      </c>
      <c r="E813" t="str">
        <f t="shared" si="61"/>
        <v>Male</v>
      </c>
      <c r="F813" s="3">
        <v>60000</v>
      </c>
      <c r="G813" s="3" t="str">
        <f t="shared" si="62"/>
        <v>Middle Class</v>
      </c>
      <c r="H813">
        <v>0</v>
      </c>
      <c r="I813" t="s">
        <v>21</v>
      </c>
      <c r="J813" t="s">
        <v>16</v>
      </c>
      <c r="K813" t="s">
        <v>20</v>
      </c>
      <c r="L813" t="str">
        <f t="shared" si="63"/>
        <v>Tenant</v>
      </c>
      <c r="M813">
        <v>2</v>
      </c>
      <c r="N813" t="s">
        <v>29</v>
      </c>
      <c r="O813" t="s">
        <v>35</v>
      </c>
      <c r="P813">
        <v>31</v>
      </c>
      <c r="Q813" t="str">
        <f t="shared" si="64"/>
        <v>25 to 34 yrs</v>
      </c>
      <c r="R813" t="s">
        <v>20</v>
      </c>
    </row>
    <row r="814" spans="1:18">
      <c r="A814">
        <v>15749</v>
      </c>
      <c r="B814" t="s">
        <v>25</v>
      </c>
      <c r="C814" t="str">
        <f t="shared" si="60"/>
        <v>Single</v>
      </c>
      <c r="D814" t="s">
        <v>14</v>
      </c>
      <c r="E814" t="str">
        <f t="shared" si="61"/>
        <v>Female</v>
      </c>
      <c r="F814" s="3">
        <v>70000</v>
      </c>
      <c r="G814" s="3" t="str">
        <f t="shared" si="62"/>
        <v>Middle Class</v>
      </c>
      <c r="H814">
        <v>4</v>
      </c>
      <c r="I814" t="s">
        <v>15</v>
      </c>
      <c r="J814" t="s">
        <v>31</v>
      </c>
      <c r="K814" t="s">
        <v>17</v>
      </c>
      <c r="L814" t="str">
        <f t="shared" si="63"/>
        <v>Home Owner</v>
      </c>
      <c r="M814">
        <v>2</v>
      </c>
      <c r="N814" t="s">
        <v>33</v>
      </c>
      <c r="O814" t="s">
        <v>35</v>
      </c>
      <c r="P814">
        <v>61</v>
      </c>
      <c r="Q814" t="str">
        <f t="shared" si="64"/>
        <v>55 to 64 yrs</v>
      </c>
      <c r="R814" t="s">
        <v>20</v>
      </c>
    </row>
    <row r="815" spans="1:18">
      <c r="A815">
        <v>25899</v>
      </c>
      <c r="B815" t="s">
        <v>13</v>
      </c>
      <c r="C815" t="str">
        <f t="shared" si="60"/>
        <v>Married</v>
      </c>
      <c r="D815" t="s">
        <v>14</v>
      </c>
      <c r="E815" t="str">
        <f t="shared" si="61"/>
        <v>Female</v>
      </c>
      <c r="F815" s="3">
        <v>70000</v>
      </c>
      <c r="G815" s="3" t="str">
        <f t="shared" si="62"/>
        <v>Middle Class</v>
      </c>
      <c r="H815">
        <v>2</v>
      </c>
      <c r="I815" t="s">
        <v>30</v>
      </c>
      <c r="J815" t="s">
        <v>23</v>
      </c>
      <c r="K815" t="s">
        <v>17</v>
      </c>
      <c r="L815" t="str">
        <f t="shared" si="63"/>
        <v>Home Owner</v>
      </c>
      <c r="M815">
        <v>2</v>
      </c>
      <c r="N815" t="s">
        <v>33</v>
      </c>
      <c r="O815" t="s">
        <v>35</v>
      </c>
      <c r="P815">
        <v>53</v>
      </c>
      <c r="Q815" t="str">
        <f t="shared" si="64"/>
        <v>45 to 54 yrs</v>
      </c>
      <c r="R815" t="s">
        <v>20</v>
      </c>
    </row>
    <row r="816" spans="1:18">
      <c r="A816">
        <v>13351</v>
      </c>
      <c r="B816" t="s">
        <v>25</v>
      </c>
      <c r="C816" t="str">
        <f t="shared" si="60"/>
        <v>Single</v>
      </c>
      <c r="D816" t="s">
        <v>14</v>
      </c>
      <c r="E816" t="str">
        <f t="shared" si="61"/>
        <v>Female</v>
      </c>
      <c r="F816" s="3">
        <v>70000</v>
      </c>
      <c r="G816" s="3" t="str">
        <f t="shared" si="62"/>
        <v>Middle Class</v>
      </c>
      <c r="H816">
        <v>4</v>
      </c>
      <c r="I816" t="s">
        <v>15</v>
      </c>
      <c r="J816" t="s">
        <v>31</v>
      </c>
      <c r="K816" t="s">
        <v>17</v>
      </c>
      <c r="L816" t="str">
        <f t="shared" si="63"/>
        <v>Home Owner</v>
      </c>
      <c r="M816">
        <v>2</v>
      </c>
      <c r="N816" t="s">
        <v>29</v>
      </c>
      <c r="O816" t="s">
        <v>35</v>
      </c>
      <c r="P816">
        <v>62</v>
      </c>
      <c r="Q816" t="str">
        <f t="shared" si="64"/>
        <v>55 to 64 yrs</v>
      </c>
      <c r="R816" t="s">
        <v>17</v>
      </c>
    </row>
    <row r="817" spans="1:18">
      <c r="A817">
        <v>23333</v>
      </c>
      <c r="B817" t="s">
        <v>13</v>
      </c>
      <c r="C817" t="str">
        <f t="shared" si="60"/>
        <v>Married</v>
      </c>
      <c r="D817" t="s">
        <v>13</v>
      </c>
      <c r="E817" t="str">
        <f t="shared" si="61"/>
        <v>Male</v>
      </c>
      <c r="F817" s="3">
        <v>40000</v>
      </c>
      <c r="G817" s="3" t="str">
        <f t="shared" si="62"/>
        <v>Lower Class</v>
      </c>
      <c r="H817">
        <v>0</v>
      </c>
      <c r="I817" t="s">
        <v>21</v>
      </c>
      <c r="J817" t="s">
        <v>16</v>
      </c>
      <c r="K817" t="s">
        <v>20</v>
      </c>
      <c r="L817" t="str">
        <f t="shared" si="63"/>
        <v>Tenant</v>
      </c>
      <c r="M817">
        <v>2</v>
      </c>
      <c r="N817" t="s">
        <v>29</v>
      </c>
      <c r="O817" t="s">
        <v>35</v>
      </c>
      <c r="P817">
        <v>30</v>
      </c>
      <c r="Q817" t="str">
        <f t="shared" si="64"/>
        <v>25 to 34 yrs</v>
      </c>
      <c r="R817" t="s">
        <v>20</v>
      </c>
    </row>
    <row r="818" spans="1:18">
      <c r="A818">
        <v>21660</v>
      </c>
      <c r="B818" t="s">
        <v>13</v>
      </c>
      <c r="C818" t="str">
        <f t="shared" si="60"/>
        <v>Married</v>
      </c>
      <c r="D818" t="s">
        <v>14</v>
      </c>
      <c r="E818" t="str">
        <f t="shared" si="61"/>
        <v>Female</v>
      </c>
      <c r="F818" s="3">
        <v>60000</v>
      </c>
      <c r="G818" s="3" t="str">
        <f t="shared" si="62"/>
        <v>Middle Class</v>
      </c>
      <c r="H818">
        <v>3</v>
      </c>
      <c r="I818" t="s">
        <v>34</v>
      </c>
      <c r="J818" t="s">
        <v>23</v>
      </c>
      <c r="K818" t="s">
        <v>17</v>
      </c>
      <c r="L818" t="str">
        <f t="shared" si="63"/>
        <v>Home Owner</v>
      </c>
      <c r="M818">
        <v>0</v>
      </c>
      <c r="N818" t="s">
        <v>24</v>
      </c>
      <c r="O818" t="s">
        <v>35</v>
      </c>
      <c r="P818">
        <v>43</v>
      </c>
      <c r="Q818" t="str">
        <f t="shared" si="64"/>
        <v>35 to 44 yrs</v>
      </c>
      <c r="R818" t="s">
        <v>17</v>
      </c>
    </row>
    <row r="819" spans="1:18">
      <c r="A819">
        <v>17012</v>
      </c>
      <c r="B819" t="s">
        <v>13</v>
      </c>
      <c r="C819" t="str">
        <f t="shared" si="60"/>
        <v>Married</v>
      </c>
      <c r="D819" t="s">
        <v>14</v>
      </c>
      <c r="E819" t="str">
        <f t="shared" si="61"/>
        <v>Female</v>
      </c>
      <c r="F819" s="3">
        <v>60000</v>
      </c>
      <c r="G819" s="3" t="str">
        <f t="shared" si="62"/>
        <v>Middle Class</v>
      </c>
      <c r="H819">
        <v>3</v>
      </c>
      <c r="I819" t="s">
        <v>34</v>
      </c>
      <c r="J819" t="s">
        <v>23</v>
      </c>
      <c r="K819" t="s">
        <v>17</v>
      </c>
      <c r="L819" t="str">
        <f t="shared" si="63"/>
        <v>Home Owner</v>
      </c>
      <c r="M819">
        <v>0</v>
      </c>
      <c r="N819" t="s">
        <v>24</v>
      </c>
      <c r="O819" t="s">
        <v>35</v>
      </c>
      <c r="P819">
        <v>42</v>
      </c>
      <c r="Q819" t="str">
        <f t="shared" si="64"/>
        <v>35 to 44 yrs</v>
      </c>
      <c r="R819" t="s">
        <v>17</v>
      </c>
    </row>
    <row r="820" spans="1:18">
      <c r="A820">
        <v>24514</v>
      </c>
      <c r="B820" t="s">
        <v>13</v>
      </c>
      <c r="C820" t="str">
        <f t="shared" si="60"/>
        <v>Married</v>
      </c>
      <c r="D820" t="s">
        <v>13</v>
      </c>
      <c r="E820" t="str">
        <f t="shared" si="61"/>
        <v>Male</v>
      </c>
      <c r="F820" s="3">
        <v>40000</v>
      </c>
      <c r="G820" s="3" t="str">
        <f t="shared" si="62"/>
        <v>Lower Class</v>
      </c>
      <c r="H820">
        <v>0</v>
      </c>
      <c r="I820" t="s">
        <v>21</v>
      </c>
      <c r="J820" t="s">
        <v>16</v>
      </c>
      <c r="K820" t="s">
        <v>17</v>
      </c>
      <c r="L820" t="str">
        <f t="shared" si="63"/>
        <v>Home Owner</v>
      </c>
      <c r="M820">
        <v>1</v>
      </c>
      <c r="N820" t="s">
        <v>26</v>
      </c>
      <c r="O820" t="s">
        <v>35</v>
      </c>
      <c r="P820">
        <v>30</v>
      </c>
      <c r="Q820" t="str">
        <f t="shared" si="64"/>
        <v>25 to 34 yrs</v>
      </c>
      <c r="R820" t="s">
        <v>20</v>
      </c>
    </row>
    <row r="821" spans="1:18">
      <c r="A821">
        <v>27505</v>
      </c>
      <c r="B821" t="s">
        <v>25</v>
      </c>
      <c r="C821" t="str">
        <f t="shared" si="60"/>
        <v>Single</v>
      </c>
      <c r="D821" t="s">
        <v>14</v>
      </c>
      <c r="E821" t="str">
        <f t="shared" si="61"/>
        <v>Female</v>
      </c>
      <c r="F821" s="3">
        <v>40000</v>
      </c>
      <c r="G821" s="3" t="str">
        <f t="shared" si="62"/>
        <v>Lower Class</v>
      </c>
      <c r="H821">
        <v>0</v>
      </c>
      <c r="I821" t="s">
        <v>30</v>
      </c>
      <c r="J821" t="s">
        <v>16</v>
      </c>
      <c r="K821" t="s">
        <v>17</v>
      </c>
      <c r="L821" t="str">
        <f t="shared" si="63"/>
        <v>Home Owner</v>
      </c>
      <c r="M821">
        <v>2</v>
      </c>
      <c r="N821" t="s">
        <v>26</v>
      </c>
      <c r="O821" t="s">
        <v>35</v>
      </c>
      <c r="P821">
        <v>30</v>
      </c>
      <c r="Q821" t="str">
        <f t="shared" si="64"/>
        <v>25 to 34 yrs</v>
      </c>
      <c r="R821" t="s">
        <v>20</v>
      </c>
    </row>
    <row r="822" spans="1:18">
      <c r="A822">
        <v>29243</v>
      </c>
      <c r="B822" t="s">
        <v>25</v>
      </c>
      <c r="C822" t="str">
        <f t="shared" si="60"/>
        <v>Single</v>
      </c>
      <c r="D822" t="s">
        <v>13</v>
      </c>
      <c r="E822" t="str">
        <f t="shared" si="61"/>
        <v>Male</v>
      </c>
      <c r="F822" s="3">
        <v>110000</v>
      </c>
      <c r="G822" s="3" t="str">
        <f t="shared" si="62"/>
        <v>Middle Class</v>
      </c>
      <c r="H822">
        <v>1</v>
      </c>
      <c r="I822" t="s">
        <v>15</v>
      </c>
      <c r="J822" t="s">
        <v>31</v>
      </c>
      <c r="K822" t="s">
        <v>17</v>
      </c>
      <c r="L822" t="str">
        <f t="shared" si="63"/>
        <v>Home Owner</v>
      </c>
      <c r="M822">
        <v>1</v>
      </c>
      <c r="N822" t="s">
        <v>26</v>
      </c>
      <c r="O822" t="s">
        <v>35</v>
      </c>
      <c r="P822">
        <v>43</v>
      </c>
      <c r="Q822" t="str">
        <f t="shared" si="64"/>
        <v>35 to 44 yrs</v>
      </c>
      <c r="R822" t="s">
        <v>20</v>
      </c>
    </row>
    <row r="823" spans="1:18">
      <c r="A823">
        <v>26582</v>
      </c>
      <c r="B823" t="s">
        <v>13</v>
      </c>
      <c r="C823" t="str">
        <f t="shared" si="60"/>
        <v>Married</v>
      </c>
      <c r="D823" t="s">
        <v>13</v>
      </c>
      <c r="E823" t="str">
        <f t="shared" si="61"/>
        <v>Male</v>
      </c>
      <c r="F823" s="3">
        <v>60000</v>
      </c>
      <c r="G823" s="3" t="str">
        <f t="shared" si="62"/>
        <v>Middle Class</v>
      </c>
      <c r="H823">
        <v>0</v>
      </c>
      <c r="I823" t="s">
        <v>21</v>
      </c>
      <c r="J823" t="s">
        <v>16</v>
      </c>
      <c r="K823" t="s">
        <v>17</v>
      </c>
      <c r="L823" t="str">
        <f t="shared" si="63"/>
        <v>Home Owner</v>
      </c>
      <c r="M823">
        <v>2</v>
      </c>
      <c r="N823" t="s">
        <v>26</v>
      </c>
      <c r="O823" t="s">
        <v>35</v>
      </c>
      <c r="P823">
        <v>33</v>
      </c>
      <c r="Q823" t="str">
        <f t="shared" si="64"/>
        <v>25 to 34 yrs</v>
      </c>
      <c r="R823" t="s">
        <v>17</v>
      </c>
    </row>
    <row r="824" spans="1:18">
      <c r="A824">
        <v>14271</v>
      </c>
      <c r="B824" t="s">
        <v>13</v>
      </c>
      <c r="C824" t="str">
        <f t="shared" si="60"/>
        <v>Married</v>
      </c>
      <c r="D824" t="s">
        <v>13</v>
      </c>
      <c r="E824" t="str">
        <f t="shared" si="61"/>
        <v>Male</v>
      </c>
      <c r="F824" s="3">
        <v>30000</v>
      </c>
      <c r="G824" s="3" t="str">
        <f t="shared" si="62"/>
        <v>Lower Class</v>
      </c>
      <c r="H824">
        <v>0</v>
      </c>
      <c r="I824" t="s">
        <v>30</v>
      </c>
      <c r="J824" t="s">
        <v>16</v>
      </c>
      <c r="K824" t="s">
        <v>17</v>
      </c>
      <c r="L824" t="str">
        <f t="shared" si="63"/>
        <v>Home Owner</v>
      </c>
      <c r="M824">
        <v>2</v>
      </c>
      <c r="N824" t="s">
        <v>26</v>
      </c>
      <c r="O824" t="s">
        <v>35</v>
      </c>
      <c r="P824">
        <v>32</v>
      </c>
      <c r="Q824" t="str">
        <f t="shared" si="64"/>
        <v>25 to 34 yrs</v>
      </c>
      <c r="R824" t="s">
        <v>20</v>
      </c>
    </row>
    <row r="825" spans="1:18">
      <c r="A825">
        <v>23041</v>
      </c>
      <c r="B825" t="s">
        <v>25</v>
      </c>
      <c r="C825" t="str">
        <f t="shared" si="60"/>
        <v>Single</v>
      </c>
      <c r="D825" t="s">
        <v>14</v>
      </c>
      <c r="E825" t="str">
        <f t="shared" si="61"/>
        <v>Female</v>
      </c>
      <c r="F825" s="3">
        <v>70000</v>
      </c>
      <c r="G825" s="3" t="str">
        <f t="shared" si="62"/>
        <v>Middle Class</v>
      </c>
      <c r="H825">
        <v>4</v>
      </c>
      <c r="I825" t="s">
        <v>30</v>
      </c>
      <c r="J825" t="s">
        <v>23</v>
      </c>
      <c r="K825" t="s">
        <v>17</v>
      </c>
      <c r="L825" t="str">
        <f t="shared" si="63"/>
        <v>Home Owner</v>
      </c>
      <c r="M825">
        <v>0</v>
      </c>
      <c r="N825" t="s">
        <v>26</v>
      </c>
      <c r="O825" t="s">
        <v>35</v>
      </c>
      <c r="P825">
        <v>50</v>
      </c>
      <c r="Q825" t="str">
        <f t="shared" si="64"/>
        <v>45 to 54 yrs</v>
      </c>
      <c r="R825" t="s">
        <v>17</v>
      </c>
    </row>
    <row r="826" spans="1:18">
      <c r="A826">
        <v>29048</v>
      </c>
      <c r="B826" t="s">
        <v>25</v>
      </c>
      <c r="C826" t="str">
        <f t="shared" si="60"/>
        <v>Single</v>
      </c>
      <c r="D826" t="s">
        <v>13</v>
      </c>
      <c r="E826" t="str">
        <f t="shared" si="61"/>
        <v>Male</v>
      </c>
      <c r="F826" s="3">
        <v>110000</v>
      </c>
      <c r="G826" s="3" t="str">
        <f t="shared" si="62"/>
        <v>Middle Class</v>
      </c>
      <c r="H826">
        <v>2</v>
      </c>
      <c r="I826" t="s">
        <v>15</v>
      </c>
      <c r="J826" t="s">
        <v>31</v>
      </c>
      <c r="K826" t="s">
        <v>20</v>
      </c>
      <c r="L826" t="str">
        <f t="shared" si="63"/>
        <v>Tenant</v>
      </c>
      <c r="M826">
        <v>3</v>
      </c>
      <c r="N826" t="s">
        <v>18</v>
      </c>
      <c r="O826" t="s">
        <v>35</v>
      </c>
      <c r="P826">
        <v>37</v>
      </c>
      <c r="Q826" t="str">
        <f t="shared" si="64"/>
        <v>35 to 44 yrs</v>
      </c>
      <c r="R826" t="s">
        <v>17</v>
      </c>
    </row>
    <row r="827" spans="1:18">
      <c r="A827">
        <v>24433</v>
      </c>
      <c r="B827" t="s">
        <v>13</v>
      </c>
      <c r="C827" t="str">
        <f t="shared" si="60"/>
        <v>Married</v>
      </c>
      <c r="D827" t="s">
        <v>13</v>
      </c>
      <c r="E827" t="str">
        <f t="shared" si="61"/>
        <v>Male</v>
      </c>
      <c r="F827" s="3">
        <v>70000</v>
      </c>
      <c r="G827" s="3" t="str">
        <f t="shared" si="62"/>
        <v>Middle Class</v>
      </c>
      <c r="H827">
        <v>3</v>
      </c>
      <c r="I827" t="s">
        <v>30</v>
      </c>
      <c r="J827" t="s">
        <v>23</v>
      </c>
      <c r="K827" t="s">
        <v>20</v>
      </c>
      <c r="L827" t="str">
        <f t="shared" si="63"/>
        <v>Tenant</v>
      </c>
      <c r="M827">
        <v>1</v>
      </c>
      <c r="N827" t="s">
        <v>29</v>
      </c>
      <c r="O827" t="s">
        <v>35</v>
      </c>
      <c r="P827">
        <v>52</v>
      </c>
      <c r="Q827" t="str">
        <f t="shared" si="64"/>
        <v>45 to 54 yrs</v>
      </c>
      <c r="R827" t="s">
        <v>17</v>
      </c>
    </row>
    <row r="828" spans="1:18">
      <c r="A828">
        <v>15501</v>
      </c>
      <c r="B828" t="s">
        <v>13</v>
      </c>
      <c r="C828" t="str">
        <f t="shared" si="60"/>
        <v>Married</v>
      </c>
      <c r="D828" t="s">
        <v>13</v>
      </c>
      <c r="E828" t="str">
        <f t="shared" si="61"/>
        <v>Male</v>
      </c>
      <c r="F828" s="3">
        <v>70000</v>
      </c>
      <c r="G828" s="3" t="str">
        <f t="shared" si="62"/>
        <v>Middle Class</v>
      </c>
      <c r="H828">
        <v>4</v>
      </c>
      <c r="I828" t="s">
        <v>34</v>
      </c>
      <c r="J828" t="s">
        <v>23</v>
      </c>
      <c r="K828" t="s">
        <v>17</v>
      </c>
      <c r="L828" t="str">
        <f t="shared" si="63"/>
        <v>Home Owner</v>
      </c>
      <c r="M828">
        <v>0</v>
      </c>
      <c r="N828" t="s">
        <v>24</v>
      </c>
      <c r="O828" t="s">
        <v>35</v>
      </c>
      <c r="P828">
        <v>36</v>
      </c>
      <c r="Q828" t="str">
        <f t="shared" si="64"/>
        <v>35 to 44 yrs</v>
      </c>
      <c r="R828" t="s">
        <v>17</v>
      </c>
    </row>
    <row r="829" spans="1:18">
      <c r="A829">
        <v>13911</v>
      </c>
      <c r="B829" t="s">
        <v>25</v>
      </c>
      <c r="C829" t="str">
        <f t="shared" si="60"/>
        <v>Single</v>
      </c>
      <c r="D829" t="s">
        <v>14</v>
      </c>
      <c r="E829" t="str">
        <f t="shared" si="61"/>
        <v>Female</v>
      </c>
      <c r="F829" s="3">
        <v>80000</v>
      </c>
      <c r="G829" s="3" t="str">
        <f t="shared" si="62"/>
        <v>Middle Class</v>
      </c>
      <c r="H829">
        <v>3</v>
      </c>
      <c r="I829" t="s">
        <v>15</v>
      </c>
      <c r="J829" t="s">
        <v>16</v>
      </c>
      <c r="K829" t="s">
        <v>17</v>
      </c>
      <c r="L829" t="str">
        <f t="shared" si="63"/>
        <v>Home Owner</v>
      </c>
      <c r="M829">
        <v>2</v>
      </c>
      <c r="N829" t="s">
        <v>24</v>
      </c>
      <c r="O829" t="s">
        <v>35</v>
      </c>
      <c r="P829">
        <v>41</v>
      </c>
      <c r="Q829" t="str">
        <f t="shared" si="64"/>
        <v>35 to 44 yrs</v>
      </c>
      <c r="R829" t="s">
        <v>17</v>
      </c>
    </row>
    <row r="830" spans="1:18">
      <c r="A830">
        <v>20421</v>
      </c>
      <c r="B830" t="s">
        <v>25</v>
      </c>
      <c r="C830" t="str">
        <f t="shared" si="60"/>
        <v>Single</v>
      </c>
      <c r="D830" t="s">
        <v>14</v>
      </c>
      <c r="E830" t="str">
        <f t="shared" si="61"/>
        <v>Female</v>
      </c>
      <c r="F830" s="3">
        <v>40000</v>
      </c>
      <c r="G830" s="3" t="str">
        <f t="shared" si="62"/>
        <v>Lower Class</v>
      </c>
      <c r="H830">
        <v>0</v>
      </c>
      <c r="I830" t="s">
        <v>32</v>
      </c>
      <c r="J830" t="s">
        <v>22</v>
      </c>
      <c r="K830" t="s">
        <v>17</v>
      </c>
      <c r="L830" t="str">
        <f t="shared" si="63"/>
        <v>Home Owner</v>
      </c>
      <c r="M830">
        <v>2</v>
      </c>
      <c r="N830" t="s">
        <v>26</v>
      </c>
      <c r="O830" t="s">
        <v>35</v>
      </c>
      <c r="P830">
        <v>26</v>
      </c>
      <c r="Q830" t="str">
        <f t="shared" si="64"/>
        <v>25 to 34 yrs</v>
      </c>
      <c r="R830" t="s">
        <v>20</v>
      </c>
    </row>
    <row r="831" spans="1:18">
      <c r="A831">
        <v>16009</v>
      </c>
      <c r="B831" t="s">
        <v>25</v>
      </c>
      <c r="C831" t="str">
        <f t="shared" si="60"/>
        <v>Single</v>
      </c>
      <c r="D831" t="s">
        <v>13</v>
      </c>
      <c r="E831" t="str">
        <f t="shared" si="61"/>
        <v>Male</v>
      </c>
      <c r="F831" s="3">
        <v>170000</v>
      </c>
      <c r="G831" s="3" t="str">
        <f t="shared" si="62"/>
        <v>Upper Middle Class</v>
      </c>
      <c r="H831">
        <v>1</v>
      </c>
      <c r="I831" t="s">
        <v>34</v>
      </c>
      <c r="J831" t="s">
        <v>31</v>
      </c>
      <c r="K831" t="s">
        <v>20</v>
      </c>
      <c r="L831" t="str">
        <f t="shared" si="63"/>
        <v>Tenant</v>
      </c>
      <c r="M831">
        <v>4</v>
      </c>
      <c r="N831" t="s">
        <v>18</v>
      </c>
      <c r="O831" t="s">
        <v>35</v>
      </c>
      <c r="P831">
        <v>66</v>
      </c>
      <c r="Q831" t="str">
        <f t="shared" si="64"/>
        <v>65 yrs &amp; Above</v>
      </c>
      <c r="R831" t="s">
        <v>20</v>
      </c>
    </row>
    <row r="832" spans="1:18">
      <c r="A832">
        <v>18411</v>
      </c>
      <c r="B832" t="s">
        <v>13</v>
      </c>
      <c r="C832" t="str">
        <f t="shared" si="60"/>
        <v>Married</v>
      </c>
      <c r="D832" t="s">
        <v>13</v>
      </c>
      <c r="E832" t="str">
        <f t="shared" si="61"/>
        <v>Male</v>
      </c>
      <c r="F832" s="3">
        <v>60000</v>
      </c>
      <c r="G832" s="3" t="str">
        <f t="shared" si="62"/>
        <v>Middle Class</v>
      </c>
      <c r="H832">
        <v>2</v>
      </c>
      <c r="I832" t="s">
        <v>30</v>
      </c>
      <c r="J832" t="s">
        <v>23</v>
      </c>
      <c r="K832" t="s">
        <v>20</v>
      </c>
      <c r="L832" t="str">
        <f t="shared" si="63"/>
        <v>Tenant</v>
      </c>
      <c r="M832">
        <v>2</v>
      </c>
      <c r="N832" t="s">
        <v>26</v>
      </c>
      <c r="O832" t="s">
        <v>35</v>
      </c>
      <c r="P832">
        <v>51</v>
      </c>
      <c r="Q832" t="str">
        <f t="shared" si="64"/>
        <v>45 to 54 yrs</v>
      </c>
      <c r="R832" t="s">
        <v>20</v>
      </c>
    </row>
    <row r="833" spans="1:18">
      <c r="A833">
        <v>19163</v>
      </c>
      <c r="B833" t="s">
        <v>13</v>
      </c>
      <c r="C833" t="str">
        <f t="shared" si="60"/>
        <v>Married</v>
      </c>
      <c r="D833" t="s">
        <v>14</v>
      </c>
      <c r="E833" t="str">
        <f t="shared" si="61"/>
        <v>Female</v>
      </c>
      <c r="F833" s="3">
        <v>70000</v>
      </c>
      <c r="G833" s="3" t="str">
        <f t="shared" si="62"/>
        <v>Middle Class</v>
      </c>
      <c r="H833">
        <v>4</v>
      </c>
      <c r="I833" t="s">
        <v>15</v>
      </c>
      <c r="J833" t="s">
        <v>23</v>
      </c>
      <c r="K833" t="s">
        <v>17</v>
      </c>
      <c r="L833" t="str">
        <f t="shared" si="63"/>
        <v>Home Owner</v>
      </c>
      <c r="M833">
        <v>2</v>
      </c>
      <c r="N833" t="s">
        <v>18</v>
      </c>
      <c r="O833" t="s">
        <v>35</v>
      </c>
      <c r="P833">
        <v>43</v>
      </c>
      <c r="Q833" t="str">
        <f t="shared" si="64"/>
        <v>35 to 44 yrs</v>
      </c>
      <c r="R833" t="s">
        <v>17</v>
      </c>
    </row>
    <row r="834" spans="1:18">
      <c r="A834">
        <v>18572</v>
      </c>
      <c r="B834" t="s">
        <v>13</v>
      </c>
      <c r="C834" t="str">
        <f t="shared" si="60"/>
        <v>Married</v>
      </c>
      <c r="D834" t="s">
        <v>14</v>
      </c>
      <c r="E834" t="str">
        <f t="shared" si="61"/>
        <v>Female</v>
      </c>
      <c r="F834" s="3">
        <v>60000</v>
      </c>
      <c r="G834" s="3" t="str">
        <f t="shared" si="62"/>
        <v>Middle Class</v>
      </c>
      <c r="H834">
        <v>0</v>
      </c>
      <c r="I834" t="s">
        <v>34</v>
      </c>
      <c r="J834" t="s">
        <v>23</v>
      </c>
      <c r="K834" t="s">
        <v>17</v>
      </c>
      <c r="L834" t="str">
        <f t="shared" si="63"/>
        <v>Home Owner</v>
      </c>
      <c r="M834">
        <v>0</v>
      </c>
      <c r="N834" t="s">
        <v>18</v>
      </c>
      <c r="O834" t="s">
        <v>35</v>
      </c>
      <c r="P834">
        <v>39</v>
      </c>
      <c r="Q834" t="str">
        <f t="shared" si="64"/>
        <v>35 to 44 yrs</v>
      </c>
      <c r="R834" t="s">
        <v>20</v>
      </c>
    </row>
    <row r="835" spans="1:18">
      <c r="A835">
        <v>27540</v>
      </c>
      <c r="B835" t="s">
        <v>25</v>
      </c>
      <c r="C835" t="str">
        <f t="shared" ref="C835:C898" si="65">IF($B$2:$B$1001="M", "Married","Single")</f>
        <v>Single</v>
      </c>
      <c r="D835" t="s">
        <v>14</v>
      </c>
      <c r="E835" t="str">
        <f t="shared" ref="E835:E898" si="66">IF($D$2:$D$1001="F", "Female", "Male")</f>
        <v>Female</v>
      </c>
      <c r="F835" s="3">
        <v>70000</v>
      </c>
      <c r="G835" s="3" t="str">
        <f t="shared" ref="G835:G898" si="67">_xlfn.IFS(F835&lt;=57375,"Lower Class",F835&lt;=114750,"Middle Class",F835&lt;=253414,"Upper Middle Class",TRUE,"Upper Class")</f>
        <v>Middle Class</v>
      </c>
      <c r="H835">
        <v>0</v>
      </c>
      <c r="I835" t="s">
        <v>15</v>
      </c>
      <c r="J835" t="s">
        <v>23</v>
      </c>
      <c r="K835" t="s">
        <v>20</v>
      </c>
      <c r="L835" t="str">
        <f t="shared" ref="L835:L898" si="68">IF($K$2:$K$1001="Yes", "Home Owner","Tenant")</f>
        <v>Tenant</v>
      </c>
      <c r="M835">
        <v>1</v>
      </c>
      <c r="N835" t="s">
        <v>18</v>
      </c>
      <c r="O835" t="s">
        <v>35</v>
      </c>
      <c r="P835">
        <v>37</v>
      </c>
      <c r="Q835" t="str">
        <f t="shared" ref="Q835:Q898" si="69">_xlfn.IFS(P835&lt;25,"Less than 25 yrs",P835&lt;35,"25 to 34 yrs",P835&lt;45,"35 to 44 yrs",P835&lt;55,"45 to 54 yrs",P835&lt;65,"55 to 64 yrs", TRUE, "65 yrs &amp; Above")</f>
        <v>35 to 44 yrs</v>
      </c>
      <c r="R835" t="s">
        <v>17</v>
      </c>
    </row>
    <row r="836" spans="1:18">
      <c r="A836">
        <v>19889</v>
      </c>
      <c r="B836" t="s">
        <v>25</v>
      </c>
      <c r="C836" t="str">
        <f t="shared" si="65"/>
        <v>Single</v>
      </c>
      <c r="D836" t="s">
        <v>14</v>
      </c>
      <c r="E836" t="str">
        <f t="shared" si="66"/>
        <v>Female</v>
      </c>
      <c r="F836" s="3">
        <v>70000</v>
      </c>
      <c r="G836" s="3" t="str">
        <f t="shared" si="67"/>
        <v>Middle Class</v>
      </c>
      <c r="H836">
        <v>2</v>
      </c>
      <c r="I836" t="s">
        <v>32</v>
      </c>
      <c r="J836" t="s">
        <v>16</v>
      </c>
      <c r="K836" t="s">
        <v>20</v>
      </c>
      <c r="L836" t="str">
        <f t="shared" si="68"/>
        <v>Tenant</v>
      </c>
      <c r="M836">
        <v>2</v>
      </c>
      <c r="N836" t="s">
        <v>24</v>
      </c>
      <c r="O836" t="s">
        <v>35</v>
      </c>
      <c r="P836">
        <v>54</v>
      </c>
      <c r="Q836" t="str">
        <f t="shared" si="69"/>
        <v>45 to 54 yrs</v>
      </c>
      <c r="R836" t="s">
        <v>17</v>
      </c>
    </row>
    <row r="837" spans="1:18">
      <c r="A837">
        <v>12922</v>
      </c>
      <c r="B837" t="s">
        <v>25</v>
      </c>
      <c r="C837" t="str">
        <f t="shared" si="65"/>
        <v>Single</v>
      </c>
      <c r="D837" t="s">
        <v>14</v>
      </c>
      <c r="E837" t="str">
        <f t="shared" si="66"/>
        <v>Female</v>
      </c>
      <c r="F837" s="3">
        <v>60000</v>
      </c>
      <c r="G837" s="3" t="str">
        <f t="shared" si="67"/>
        <v>Middle Class</v>
      </c>
      <c r="H837">
        <v>3</v>
      </c>
      <c r="I837" t="s">
        <v>15</v>
      </c>
      <c r="J837" t="s">
        <v>16</v>
      </c>
      <c r="K837" t="s">
        <v>17</v>
      </c>
      <c r="L837" t="str">
        <f t="shared" si="68"/>
        <v>Home Owner</v>
      </c>
      <c r="M837">
        <v>0</v>
      </c>
      <c r="N837" t="s">
        <v>24</v>
      </c>
      <c r="O837" t="s">
        <v>35</v>
      </c>
      <c r="P837">
        <v>40</v>
      </c>
      <c r="Q837" t="str">
        <f t="shared" si="69"/>
        <v>35 to 44 yrs</v>
      </c>
      <c r="R837" t="s">
        <v>17</v>
      </c>
    </row>
    <row r="838" spans="1:18">
      <c r="A838">
        <v>18891</v>
      </c>
      <c r="B838" t="s">
        <v>13</v>
      </c>
      <c r="C838" t="str">
        <f t="shared" si="65"/>
        <v>Married</v>
      </c>
      <c r="D838" t="s">
        <v>14</v>
      </c>
      <c r="E838" t="str">
        <f t="shared" si="66"/>
        <v>Female</v>
      </c>
      <c r="F838" s="3">
        <v>40000</v>
      </c>
      <c r="G838" s="3" t="str">
        <f t="shared" si="67"/>
        <v>Lower Class</v>
      </c>
      <c r="H838">
        <v>0</v>
      </c>
      <c r="I838" t="s">
        <v>21</v>
      </c>
      <c r="J838" t="s">
        <v>16</v>
      </c>
      <c r="K838" t="s">
        <v>17</v>
      </c>
      <c r="L838" t="str">
        <f t="shared" si="68"/>
        <v>Home Owner</v>
      </c>
      <c r="M838">
        <v>2</v>
      </c>
      <c r="N838" t="s">
        <v>26</v>
      </c>
      <c r="O838" t="s">
        <v>35</v>
      </c>
      <c r="P838">
        <v>28</v>
      </c>
      <c r="Q838" t="str">
        <f t="shared" si="69"/>
        <v>25 to 34 yrs</v>
      </c>
      <c r="R838" t="s">
        <v>20</v>
      </c>
    </row>
    <row r="839" spans="1:18">
      <c r="A839">
        <v>16773</v>
      </c>
      <c r="B839" t="s">
        <v>13</v>
      </c>
      <c r="C839" t="str">
        <f t="shared" si="65"/>
        <v>Married</v>
      </c>
      <c r="D839" t="s">
        <v>13</v>
      </c>
      <c r="E839" t="str">
        <f t="shared" si="66"/>
        <v>Male</v>
      </c>
      <c r="F839" s="3">
        <v>60000</v>
      </c>
      <c r="G839" s="3" t="str">
        <f t="shared" si="67"/>
        <v>Middle Class</v>
      </c>
      <c r="H839">
        <v>1</v>
      </c>
      <c r="I839" t="s">
        <v>34</v>
      </c>
      <c r="J839" t="s">
        <v>16</v>
      </c>
      <c r="K839" t="s">
        <v>17</v>
      </c>
      <c r="L839" t="str">
        <f t="shared" si="68"/>
        <v>Home Owner</v>
      </c>
      <c r="M839">
        <v>0</v>
      </c>
      <c r="N839" t="s">
        <v>18</v>
      </c>
      <c r="O839" t="s">
        <v>35</v>
      </c>
      <c r="P839">
        <v>33</v>
      </c>
      <c r="Q839" t="str">
        <f t="shared" si="69"/>
        <v>25 to 34 yrs</v>
      </c>
      <c r="R839" t="s">
        <v>20</v>
      </c>
    </row>
    <row r="840" spans="1:18">
      <c r="A840">
        <v>19143</v>
      </c>
      <c r="B840" t="s">
        <v>25</v>
      </c>
      <c r="C840" t="str">
        <f t="shared" si="65"/>
        <v>Single</v>
      </c>
      <c r="D840" t="s">
        <v>14</v>
      </c>
      <c r="E840" t="str">
        <f t="shared" si="66"/>
        <v>Female</v>
      </c>
      <c r="F840" s="3">
        <v>80000</v>
      </c>
      <c r="G840" s="3" t="str">
        <f t="shared" si="67"/>
        <v>Middle Class</v>
      </c>
      <c r="H840">
        <v>3</v>
      </c>
      <c r="I840" t="s">
        <v>15</v>
      </c>
      <c r="J840" t="s">
        <v>16</v>
      </c>
      <c r="K840" t="s">
        <v>17</v>
      </c>
      <c r="L840" t="str">
        <f t="shared" si="68"/>
        <v>Home Owner</v>
      </c>
      <c r="M840">
        <v>2</v>
      </c>
      <c r="N840" t="s">
        <v>24</v>
      </c>
      <c r="O840" t="s">
        <v>35</v>
      </c>
      <c r="P840">
        <v>41</v>
      </c>
      <c r="Q840" t="str">
        <f t="shared" si="69"/>
        <v>35 to 44 yrs</v>
      </c>
      <c r="R840" t="s">
        <v>17</v>
      </c>
    </row>
    <row r="841" spans="1:18">
      <c r="A841">
        <v>23882</v>
      </c>
      <c r="B841" t="s">
        <v>25</v>
      </c>
      <c r="C841" t="str">
        <f t="shared" si="65"/>
        <v>Single</v>
      </c>
      <c r="D841" t="s">
        <v>14</v>
      </c>
      <c r="E841" t="str">
        <f t="shared" si="66"/>
        <v>Female</v>
      </c>
      <c r="F841" s="3">
        <v>80000</v>
      </c>
      <c r="G841" s="3" t="str">
        <f t="shared" si="67"/>
        <v>Middle Class</v>
      </c>
      <c r="H841">
        <v>3</v>
      </c>
      <c r="I841" t="s">
        <v>34</v>
      </c>
      <c r="J841" t="s">
        <v>23</v>
      </c>
      <c r="K841" t="s">
        <v>17</v>
      </c>
      <c r="L841" t="str">
        <f t="shared" si="68"/>
        <v>Home Owner</v>
      </c>
      <c r="M841">
        <v>0</v>
      </c>
      <c r="N841" t="s">
        <v>18</v>
      </c>
      <c r="O841" t="s">
        <v>35</v>
      </c>
      <c r="P841">
        <v>37</v>
      </c>
      <c r="Q841" t="str">
        <f t="shared" si="69"/>
        <v>35 to 44 yrs</v>
      </c>
      <c r="R841" t="s">
        <v>17</v>
      </c>
    </row>
    <row r="842" spans="1:18">
      <c r="A842">
        <v>11233</v>
      </c>
      <c r="B842" t="s">
        <v>13</v>
      </c>
      <c r="C842" t="str">
        <f t="shared" si="65"/>
        <v>Married</v>
      </c>
      <c r="D842" t="s">
        <v>13</v>
      </c>
      <c r="E842" t="str">
        <f t="shared" si="66"/>
        <v>Male</v>
      </c>
      <c r="F842" s="3">
        <v>70000</v>
      </c>
      <c r="G842" s="3" t="str">
        <f t="shared" si="67"/>
        <v>Middle Class</v>
      </c>
      <c r="H842">
        <v>4</v>
      </c>
      <c r="I842" t="s">
        <v>21</v>
      </c>
      <c r="J842" t="s">
        <v>23</v>
      </c>
      <c r="K842" t="s">
        <v>17</v>
      </c>
      <c r="L842" t="str">
        <f t="shared" si="68"/>
        <v>Home Owner</v>
      </c>
      <c r="M842">
        <v>2</v>
      </c>
      <c r="N842" t="s">
        <v>33</v>
      </c>
      <c r="O842" t="s">
        <v>35</v>
      </c>
      <c r="P842">
        <v>53</v>
      </c>
      <c r="Q842" t="str">
        <f t="shared" si="69"/>
        <v>45 to 54 yrs</v>
      </c>
      <c r="R842" t="s">
        <v>20</v>
      </c>
    </row>
    <row r="843" spans="1:18">
      <c r="A843">
        <v>12056</v>
      </c>
      <c r="B843" t="s">
        <v>13</v>
      </c>
      <c r="C843" t="str">
        <f t="shared" si="65"/>
        <v>Married</v>
      </c>
      <c r="D843" t="s">
        <v>13</v>
      </c>
      <c r="E843" t="str">
        <f t="shared" si="66"/>
        <v>Male</v>
      </c>
      <c r="F843" s="3">
        <v>120000</v>
      </c>
      <c r="G843" s="3" t="str">
        <f t="shared" si="67"/>
        <v>Upper Middle Class</v>
      </c>
      <c r="H843">
        <v>2</v>
      </c>
      <c r="I843" t="s">
        <v>34</v>
      </c>
      <c r="J843" t="s">
        <v>31</v>
      </c>
      <c r="K843" t="s">
        <v>17</v>
      </c>
      <c r="L843" t="str">
        <f t="shared" si="68"/>
        <v>Home Owner</v>
      </c>
      <c r="M843">
        <v>3</v>
      </c>
      <c r="N843" t="s">
        <v>26</v>
      </c>
      <c r="O843" t="s">
        <v>35</v>
      </c>
      <c r="P843">
        <v>64</v>
      </c>
      <c r="Q843" t="str">
        <f t="shared" si="69"/>
        <v>55 to 64 yrs</v>
      </c>
      <c r="R843" t="s">
        <v>20</v>
      </c>
    </row>
    <row r="844" spans="1:18">
      <c r="A844">
        <v>15555</v>
      </c>
      <c r="B844" t="s">
        <v>13</v>
      </c>
      <c r="C844" t="str">
        <f t="shared" si="65"/>
        <v>Married</v>
      </c>
      <c r="D844" t="s">
        <v>14</v>
      </c>
      <c r="E844" t="str">
        <f t="shared" si="66"/>
        <v>Female</v>
      </c>
      <c r="F844" s="3">
        <v>60000</v>
      </c>
      <c r="G844" s="3" t="str">
        <f t="shared" si="67"/>
        <v>Middle Class</v>
      </c>
      <c r="H844">
        <v>1</v>
      </c>
      <c r="I844" t="s">
        <v>21</v>
      </c>
      <c r="J844" t="s">
        <v>16</v>
      </c>
      <c r="K844" t="s">
        <v>17</v>
      </c>
      <c r="L844" t="str">
        <f t="shared" si="68"/>
        <v>Home Owner</v>
      </c>
      <c r="M844">
        <v>1</v>
      </c>
      <c r="N844" t="s">
        <v>24</v>
      </c>
      <c r="O844" t="s">
        <v>35</v>
      </c>
      <c r="P844">
        <v>45</v>
      </c>
      <c r="Q844" t="str">
        <f t="shared" si="69"/>
        <v>45 to 54 yrs</v>
      </c>
      <c r="R844" t="s">
        <v>17</v>
      </c>
    </row>
    <row r="845" spans="1:18">
      <c r="A845">
        <v>18423</v>
      </c>
      <c r="B845" t="s">
        <v>25</v>
      </c>
      <c r="C845" t="str">
        <f t="shared" si="65"/>
        <v>Single</v>
      </c>
      <c r="D845" t="s">
        <v>13</v>
      </c>
      <c r="E845" t="str">
        <f t="shared" si="66"/>
        <v>Male</v>
      </c>
      <c r="F845" s="3">
        <v>80000</v>
      </c>
      <c r="G845" s="3" t="str">
        <f t="shared" si="67"/>
        <v>Middle Class</v>
      </c>
      <c r="H845">
        <v>2</v>
      </c>
      <c r="I845" t="s">
        <v>32</v>
      </c>
      <c r="J845" t="s">
        <v>16</v>
      </c>
      <c r="K845" t="s">
        <v>20</v>
      </c>
      <c r="L845" t="str">
        <f t="shared" si="68"/>
        <v>Tenant</v>
      </c>
      <c r="M845">
        <v>2</v>
      </c>
      <c r="N845" t="s">
        <v>29</v>
      </c>
      <c r="O845" t="s">
        <v>35</v>
      </c>
      <c r="P845">
        <v>52</v>
      </c>
      <c r="Q845" t="str">
        <f t="shared" si="69"/>
        <v>45 to 54 yrs</v>
      </c>
      <c r="R845" t="s">
        <v>20</v>
      </c>
    </row>
    <row r="846" spans="1:18">
      <c r="A846">
        <v>22743</v>
      </c>
      <c r="B846" t="s">
        <v>13</v>
      </c>
      <c r="C846" t="str">
        <f t="shared" si="65"/>
        <v>Married</v>
      </c>
      <c r="D846" t="s">
        <v>14</v>
      </c>
      <c r="E846" t="str">
        <f t="shared" si="66"/>
        <v>Female</v>
      </c>
      <c r="F846" s="3">
        <v>40000</v>
      </c>
      <c r="G846" s="3" t="str">
        <f t="shared" si="67"/>
        <v>Lower Class</v>
      </c>
      <c r="H846">
        <v>5</v>
      </c>
      <c r="I846" t="s">
        <v>30</v>
      </c>
      <c r="J846" t="s">
        <v>23</v>
      </c>
      <c r="K846" t="s">
        <v>17</v>
      </c>
      <c r="L846" t="str">
        <f t="shared" si="68"/>
        <v>Home Owner</v>
      </c>
      <c r="M846">
        <v>2</v>
      </c>
      <c r="N846" t="s">
        <v>33</v>
      </c>
      <c r="O846" t="s">
        <v>35</v>
      </c>
      <c r="P846">
        <v>60</v>
      </c>
      <c r="Q846" t="str">
        <f t="shared" si="69"/>
        <v>55 to 64 yrs</v>
      </c>
      <c r="R846" t="s">
        <v>20</v>
      </c>
    </row>
    <row r="847" spans="1:18">
      <c r="A847">
        <v>25343</v>
      </c>
      <c r="B847" t="s">
        <v>25</v>
      </c>
      <c r="C847" t="str">
        <f t="shared" si="65"/>
        <v>Single</v>
      </c>
      <c r="D847" t="s">
        <v>14</v>
      </c>
      <c r="E847" t="str">
        <f t="shared" si="66"/>
        <v>Female</v>
      </c>
      <c r="F847" s="3">
        <v>20000</v>
      </c>
      <c r="G847" s="3" t="str">
        <f t="shared" si="67"/>
        <v>Lower Class</v>
      </c>
      <c r="H847">
        <v>3</v>
      </c>
      <c r="I847" t="s">
        <v>32</v>
      </c>
      <c r="J847" t="s">
        <v>22</v>
      </c>
      <c r="K847" t="s">
        <v>17</v>
      </c>
      <c r="L847" t="str">
        <f t="shared" si="68"/>
        <v>Home Owner</v>
      </c>
      <c r="M847">
        <v>2</v>
      </c>
      <c r="N847" t="s">
        <v>29</v>
      </c>
      <c r="O847" t="s">
        <v>35</v>
      </c>
      <c r="P847">
        <v>50</v>
      </c>
      <c r="Q847" t="str">
        <f t="shared" si="69"/>
        <v>45 to 54 yrs</v>
      </c>
      <c r="R847" t="s">
        <v>20</v>
      </c>
    </row>
    <row r="848" spans="1:18">
      <c r="A848">
        <v>13390</v>
      </c>
      <c r="B848" t="s">
        <v>13</v>
      </c>
      <c r="C848" t="str">
        <f t="shared" si="65"/>
        <v>Married</v>
      </c>
      <c r="D848" t="s">
        <v>14</v>
      </c>
      <c r="E848" t="str">
        <f t="shared" si="66"/>
        <v>Female</v>
      </c>
      <c r="F848" s="3">
        <v>70000</v>
      </c>
      <c r="G848" s="3" t="str">
        <f t="shared" si="67"/>
        <v>Middle Class</v>
      </c>
      <c r="H848">
        <v>4</v>
      </c>
      <c r="I848" t="s">
        <v>21</v>
      </c>
      <c r="J848" t="s">
        <v>23</v>
      </c>
      <c r="K848" t="s">
        <v>20</v>
      </c>
      <c r="L848" t="str">
        <f t="shared" si="68"/>
        <v>Tenant</v>
      </c>
      <c r="M848">
        <v>1</v>
      </c>
      <c r="N848" t="s">
        <v>29</v>
      </c>
      <c r="O848" t="s">
        <v>35</v>
      </c>
      <c r="P848">
        <v>56</v>
      </c>
      <c r="Q848" t="str">
        <f t="shared" si="69"/>
        <v>55 to 64 yrs</v>
      </c>
      <c r="R848" t="s">
        <v>20</v>
      </c>
    </row>
    <row r="849" spans="1:18">
      <c r="A849">
        <v>17482</v>
      </c>
      <c r="B849" t="s">
        <v>25</v>
      </c>
      <c r="C849" t="str">
        <f t="shared" si="65"/>
        <v>Single</v>
      </c>
      <c r="D849" t="s">
        <v>14</v>
      </c>
      <c r="E849" t="str">
        <f t="shared" si="66"/>
        <v>Female</v>
      </c>
      <c r="F849" s="3">
        <v>40000</v>
      </c>
      <c r="G849" s="3" t="str">
        <f t="shared" si="67"/>
        <v>Lower Class</v>
      </c>
      <c r="H849">
        <v>0</v>
      </c>
      <c r="I849" t="s">
        <v>32</v>
      </c>
      <c r="J849" t="s">
        <v>22</v>
      </c>
      <c r="K849" t="s">
        <v>17</v>
      </c>
      <c r="L849" t="str">
        <f t="shared" si="68"/>
        <v>Home Owner</v>
      </c>
      <c r="M849">
        <v>2</v>
      </c>
      <c r="N849" t="s">
        <v>26</v>
      </c>
      <c r="O849" t="s">
        <v>35</v>
      </c>
      <c r="P849">
        <v>29</v>
      </c>
      <c r="Q849" t="str">
        <f t="shared" si="69"/>
        <v>25 to 34 yrs</v>
      </c>
      <c r="R849" t="s">
        <v>20</v>
      </c>
    </row>
    <row r="850" spans="1:18">
      <c r="A850">
        <v>13176</v>
      </c>
      <c r="B850" t="s">
        <v>25</v>
      </c>
      <c r="C850" t="str">
        <f t="shared" si="65"/>
        <v>Single</v>
      </c>
      <c r="D850" t="s">
        <v>13</v>
      </c>
      <c r="E850" t="str">
        <f t="shared" si="66"/>
        <v>Male</v>
      </c>
      <c r="F850" s="3">
        <v>130000</v>
      </c>
      <c r="G850" s="3" t="str">
        <f t="shared" si="67"/>
        <v>Upper Middle Class</v>
      </c>
      <c r="H850">
        <v>0</v>
      </c>
      <c r="I850" t="s">
        <v>34</v>
      </c>
      <c r="J850" t="s">
        <v>31</v>
      </c>
      <c r="K850" t="s">
        <v>20</v>
      </c>
      <c r="L850" t="str">
        <f t="shared" si="68"/>
        <v>Tenant</v>
      </c>
      <c r="M850">
        <v>2</v>
      </c>
      <c r="N850" t="s">
        <v>18</v>
      </c>
      <c r="O850" t="s">
        <v>35</v>
      </c>
      <c r="P850">
        <v>38</v>
      </c>
      <c r="Q850" t="str">
        <f t="shared" si="69"/>
        <v>35 to 44 yrs</v>
      </c>
      <c r="R850" t="s">
        <v>17</v>
      </c>
    </row>
    <row r="851" spans="1:18">
      <c r="A851">
        <v>20504</v>
      </c>
      <c r="B851" t="s">
        <v>13</v>
      </c>
      <c r="C851" t="str">
        <f t="shared" si="65"/>
        <v>Married</v>
      </c>
      <c r="D851" t="s">
        <v>14</v>
      </c>
      <c r="E851" t="str">
        <f t="shared" si="66"/>
        <v>Female</v>
      </c>
      <c r="F851" s="3">
        <v>40000</v>
      </c>
      <c r="G851" s="3" t="str">
        <f t="shared" si="67"/>
        <v>Lower Class</v>
      </c>
      <c r="H851">
        <v>5</v>
      </c>
      <c r="I851" t="s">
        <v>30</v>
      </c>
      <c r="J851" t="s">
        <v>23</v>
      </c>
      <c r="K851" t="s">
        <v>20</v>
      </c>
      <c r="L851" t="str">
        <f t="shared" si="68"/>
        <v>Tenant</v>
      </c>
      <c r="M851">
        <v>2</v>
      </c>
      <c r="N851" t="s">
        <v>24</v>
      </c>
      <c r="O851" t="s">
        <v>35</v>
      </c>
      <c r="P851">
        <v>60</v>
      </c>
      <c r="Q851" t="str">
        <f t="shared" si="69"/>
        <v>55 to 64 yrs</v>
      </c>
      <c r="R851" t="s">
        <v>20</v>
      </c>
    </row>
    <row r="852" spans="1:18">
      <c r="A852">
        <v>12205</v>
      </c>
      <c r="B852" t="s">
        <v>25</v>
      </c>
      <c r="C852" t="str">
        <f t="shared" si="65"/>
        <v>Single</v>
      </c>
      <c r="D852" t="s">
        <v>14</v>
      </c>
      <c r="E852" t="str">
        <f t="shared" si="66"/>
        <v>Female</v>
      </c>
      <c r="F852" s="3">
        <v>130000</v>
      </c>
      <c r="G852" s="3" t="str">
        <f t="shared" si="67"/>
        <v>Upper Middle Class</v>
      </c>
      <c r="H852">
        <v>2</v>
      </c>
      <c r="I852" t="s">
        <v>15</v>
      </c>
      <c r="J852" t="s">
        <v>31</v>
      </c>
      <c r="K852" t="s">
        <v>20</v>
      </c>
      <c r="L852" t="str">
        <f t="shared" si="68"/>
        <v>Tenant</v>
      </c>
      <c r="M852">
        <v>4</v>
      </c>
      <c r="N852" t="s">
        <v>18</v>
      </c>
      <c r="O852" t="s">
        <v>35</v>
      </c>
      <c r="P852">
        <v>67</v>
      </c>
      <c r="Q852" t="str">
        <f t="shared" si="69"/>
        <v>65 yrs &amp; Above</v>
      </c>
      <c r="R852" t="s">
        <v>20</v>
      </c>
    </row>
    <row r="853" spans="1:18">
      <c r="A853">
        <v>16751</v>
      </c>
      <c r="B853" t="s">
        <v>13</v>
      </c>
      <c r="C853" t="str">
        <f t="shared" si="65"/>
        <v>Married</v>
      </c>
      <c r="D853" t="s">
        <v>13</v>
      </c>
      <c r="E853" t="str">
        <f t="shared" si="66"/>
        <v>Male</v>
      </c>
      <c r="F853" s="3">
        <v>60000</v>
      </c>
      <c r="G853" s="3" t="str">
        <f t="shared" si="67"/>
        <v>Middle Class</v>
      </c>
      <c r="H853">
        <v>0</v>
      </c>
      <c r="I853" t="s">
        <v>21</v>
      </c>
      <c r="J853" t="s">
        <v>16</v>
      </c>
      <c r="K853" t="s">
        <v>17</v>
      </c>
      <c r="L853" t="str">
        <f t="shared" si="68"/>
        <v>Home Owner</v>
      </c>
      <c r="M853">
        <v>1</v>
      </c>
      <c r="N853" t="s">
        <v>26</v>
      </c>
      <c r="O853" t="s">
        <v>35</v>
      </c>
      <c r="P853">
        <v>32</v>
      </c>
      <c r="Q853" t="str">
        <f t="shared" si="69"/>
        <v>25 to 34 yrs</v>
      </c>
      <c r="R853" t="s">
        <v>17</v>
      </c>
    </row>
    <row r="854" spans="1:18">
      <c r="A854">
        <v>21613</v>
      </c>
      <c r="B854" t="s">
        <v>25</v>
      </c>
      <c r="C854" t="str">
        <f t="shared" si="65"/>
        <v>Single</v>
      </c>
      <c r="D854" t="s">
        <v>13</v>
      </c>
      <c r="E854" t="str">
        <f t="shared" si="66"/>
        <v>Male</v>
      </c>
      <c r="F854" s="3">
        <v>50000</v>
      </c>
      <c r="G854" s="3" t="str">
        <f t="shared" si="67"/>
        <v>Lower Class</v>
      </c>
      <c r="H854">
        <v>2</v>
      </c>
      <c r="I854" t="s">
        <v>15</v>
      </c>
      <c r="J854" t="s">
        <v>16</v>
      </c>
      <c r="K854" t="s">
        <v>20</v>
      </c>
      <c r="L854" t="str">
        <f t="shared" si="68"/>
        <v>Tenant</v>
      </c>
      <c r="M854">
        <v>1</v>
      </c>
      <c r="N854" t="s">
        <v>18</v>
      </c>
      <c r="O854" t="s">
        <v>35</v>
      </c>
      <c r="P854">
        <v>39</v>
      </c>
      <c r="Q854" t="str">
        <f t="shared" si="69"/>
        <v>35 to 44 yrs</v>
      </c>
      <c r="R854" t="s">
        <v>17</v>
      </c>
    </row>
    <row r="855" spans="1:18">
      <c r="A855">
        <v>24801</v>
      </c>
      <c r="B855" t="s">
        <v>25</v>
      </c>
      <c r="C855" t="str">
        <f t="shared" si="65"/>
        <v>Single</v>
      </c>
      <c r="D855" t="s">
        <v>13</v>
      </c>
      <c r="E855" t="str">
        <f t="shared" si="66"/>
        <v>Male</v>
      </c>
      <c r="F855" s="3">
        <v>60000</v>
      </c>
      <c r="G855" s="3" t="str">
        <f t="shared" si="67"/>
        <v>Middle Class</v>
      </c>
      <c r="H855">
        <v>1</v>
      </c>
      <c r="I855" t="s">
        <v>34</v>
      </c>
      <c r="J855" t="s">
        <v>23</v>
      </c>
      <c r="K855" t="s">
        <v>17</v>
      </c>
      <c r="L855" t="str">
        <f t="shared" si="68"/>
        <v>Home Owner</v>
      </c>
      <c r="M855">
        <v>0</v>
      </c>
      <c r="N855" t="s">
        <v>24</v>
      </c>
      <c r="O855" t="s">
        <v>35</v>
      </c>
      <c r="P855">
        <v>35</v>
      </c>
      <c r="Q855" t="str">
        <f t="shared" si="69"/>
        <v>35 to 44 yrs</v>
      </c>
      <c r="R855" t="s">
        <v>17</v>
      </c>
    </row>
    <row r="856" spans="1:18">
      <c r="A856">
        <v>17519</v>
      </c>
      <c r="B856" t="s">
        <v>13</v>
      </c>
      <c r="C856" t="str">
        <f t="shared" si="65"/>
        <v>Married</v>
      </c>
      <c r="D856" t="s">
        <v>14</v>
      </c>
      <c r="E856" t="str">
        <f t="shared" si="66"/>
        <v>Female</v>
      </c>
      <c r="F856" s="3">
        <v>60000</v>
      </c>
      <c r="G856" s="3" t="str">
        <f t="shared" si="67"/>
        <v>Middle Class</v>
      </c>
      <c r="H856">
        <v>0</v>
      </c>
      <c r="I856" t="s">
        <v>21</v>
      </c>
      <c r="J856" t="s">
        <v>23</v>
      </c>
      <c r="K856" t="s">
        <v>17</v>
      </c>
      <c r="L856" t="str">
        <f t="shared" si="68"/>
        <v>Home Owner</v>
      </c>
      <c r="M856">
        <v>2</v>
      </c>
      <c r="N856" t="s">
        <v>26</v>
      </c>
      <c r="O856" t="s">
        <v>35</v>
      </c>
      <c r="P856">
        <v>32</v>
      </c>
      <c r="Q856" t="str">
        <f t="shared" si="69"/>
        <v>25 to 34 yrs</v>
      </c>
      <c r="R856" t="s">
        <v>20</v>
      </c>
    </row>
    <row r="857" spans="1:18">
      <c r="A857">
        <v>18347</v>
      </c>
      <c r="B857" t="s">
        <v>25</v>
      </c>
      <c r="C857" t="str">
        <f t="shared" si="65"/>
        <v>Single</v>
      </c>
      <c r="D857" t="s">
        <v>14</v>
      </c>
      <c r="E857" t="str">
        <f t="shared" si="66"/>
        <v>Female</v>
      </c>
      <c r="F857" s="3">
        <v>30000</v>
      </c>
      <c r="G857" s="3" t="str">
        <f t="shared" si="67"/>
        <v>Lower Class</v>
      </c>
      <c r="H857">
        <v>0</v>
      </c>
      <c r="I857" t="s">
        <v>21</v>
      </c>
      <c r="J857" t="s">
        <v>16</v>
      </c>
      <c r="K857" t="s">
        <v>20</v>
      </c>
      <c r="L857" t="str">
        <f t="shared" si="68"/>
        <v>Tenant</v>
      </c>
      <c r="M857">
        <v>1</v>
      </c>
      <c r="N857" t="s">
        <v>29</v>
      </c>
      <c r="O857" t="s">
        <v>35</v>
      </c>
      <c r="P857">
        <v>31</v>
      </c>
      <c r="Q857" t="str">
        <f t="shared" si="69"/>
        <v>25 to 34 yrs</v>
      </c>
      <c r="R857" t="s">
        <v>20</v>
      </c>
    </row>
    <row r="858" spans="1:18">
      <c r="A858">
        <v>29052</v>
      </c>
      <c r="B858" t="s">
        <v>25</v>
      </c>
      <c r="C858" t="str">
        <f t="shared" si="65"/>
        <v>Single</v>
      </c>
      <c r="D858" t="s">
        <v>13</v>
      </c>
      <c r="E858" t="str">
        <f t="shared" si="66"/>
        <v>Male</v>
      </c>
      <c r="F858" s="3">
        <v>40000</v>
      </c>
      <c r="G858" s="3" t="str">
        <f t="shared" si="67"/>
        <v>Lower Class</v>
      </c>
      <c r="H858">
        <v>0</v>
      </c>
      <c r="I858" t="s">
        <v>21</v>
      </c>
      <c r="J858" t="s">
        <v>16</v>
      </c>
      <c r="K858" t="s">
        <v>17</v>
      </c>
      <c r="L858" t="str">
        <f t="shared" si="68"/>
        <v>Home Owner</v>
      </c>
      <c r="M858">
        <v>1</v>
      </c>
      <c r="N858" t="s">
        <v>26</v>
      </c>
      <c r="O858" t="s">
        <v>35</v>
      </c>
      <c r="P858">
        <v>27</v>
      </c>
      <c r="Q858" t="str">
        <f t="shared" si="69"/>
        <v>25 to 34 yrs</v>
      </c>
      <c r="R858" t="s">
        <v>20</v>
      </c>
    </row>
    <row r="859" spans="1:18">
      <c r="A859">
        <v>11745</v>
      </c>
      <c r="B859" t="s">
        <v>13</v>
      </c>
      <c r="C859" t="str">
        <f t="shared" si="65"/>
        <v>Married</v>
      </c>
      <c r="D859" t="s">
        <v>14</v>
      </c>
      <c r="E859" t="str">
        <f t="shared" si="66"/>
        <v>Female</v>
      </c>
      <c r="F859" s="3">
        <v>60000</v>
      </c>
      <c r="G859" s="3" t="str">
        <f t="shared" si="67"/>
        <v>Middle Class</v>
      </c>
      <c r="H859">
        <v>1</v>
      </c>
      <c r="I859" t="s">
        <v>15</v>
      </c>
      <c r="J859" t="s">
        <v>23</v>
      </c>
      <c r="K859" t="s">
        <v>17</v>
      </c>
      <c r="L859" t="str">
        <f t="shared" si="68"/>
        <v>Home Owner</v>
      </c>
      <c r="M859">
        <v>1</v>
      </c>
      <c r="N859" t="s">
        <v>18</v>
      </c>
      <c r="O859" t="s">
        <v>35</v>
      </c>
      <c r="P859">
        <v>47</v>
      </c>
      <c r="Q859" t="str">
        <f t="shared" si="69"/>
        <v>45 to 54 yrs</v>
      </c>
      <c r="R859" t="s">
        <v>17</v>
      </c>
    </row>
    <row r="860" spans="1:18">
      <c r="A860">
        <v>19147</v>
      </c>
      <c r="B860" t="s">
        <v>13</v>
      </c>
      <c r="C860" t="str">
        <f t="shared" si="65"/>
        <v>Married</v>
      </c>
      <c r="D860" t="s">
        <v>13</v>
      </c>
      <c r="E860" t="str">
        <f t="shared" si="66"/>
        <v>Male</v>
      </c>
      <c r="F860" s="3">
        <v>40000</v>
      </c>
      <c r="G860" s="3" t="str">
        <f t="shared" si="67"/>
        <v>Lower Class</v>
      </c>
      <c r="H860">
        <v>0</v>
      </c>
      <c r="I860" t="s">
        <v>15</v>
      </c>
      <c r="J860" t="s">
        <v>23</v>
      </c>
      <c r="K860" t="s">
        <v>20</v>
      </c>
      <c r="L860" t="str">
        <f t="shared" si="68"/>
        <v>Tenant</v>
      </c>
      <c r="M860">
        <v>1</v>
      </c>
      <c r="N860" t="s">
        <v>18</v>
      </c>
      <c r="O860" t="s">
        <v>35</v>
      </c>
      <c r="P860">
        <v>42</v>
      </c>
      <c r="Q860" t="str">
        <f t="shared" si="69"/>
        <v>35 to 44 yrs</v>
      </c>
      <c r="R860" t="s">
        <v>20</v>
      </c>
    </row>
    <row r="861" spans="1:18">
      <c r="A861">
        <v>19217</v>
      </c>
      <c r="B861" t="s">
        <v>13</v>
      </c>
      <c r="C861" t="str">
        <f t="shared" si="65"/>
        <v>Married</v>
      </c>
      <c r="D861" t="s">
        <v>13</v>
      </c>
      <c r="E861" t="str">
        <f t="shared" si="66"/>
        <v>Male</v>
      </c>
      <c r="F861" s="3">
        <v>30000</v>
      </c>
      <c r="G861" s="3" t="str">
        <f t="shared" si="67"/>
        <v>Lower Class</v>
      </c>
      <c r="H861">
        <v>2</v>
      </c>
      <c r="I861" t="s">
        <v>30</v>
      </c>
      <c r="J861" t="s">
        <v>16</v>
      </c>
      <c r="K861" t="s">
        <v>17</v>
      </c>
      <c r="L861" t="str">
        <f t="shared" si="68"/>
        <v>Home Owner</v>
      </c>
      <c r="M861">
        <v>2</v>
      </c>
      <c r="N861" t="s">
        <v>29</v>
      </c>
      <c r="O861" t="s">
        <v>35</v>
      </c>
      <c r="P861">
        <v>49</v>
      </c>
      <c r="Q861" t="str">
        <f t="shared" si="69"/>
        <v>45 to 54 yrs</v>
      </c>
      <c r="R861" t="s">
        <v>20</v>
      </c>
    </row>
    <row r="862" spans="1:18">
      <c r="A862">
        <v>15839</v>
      </c>
      <c r="B862" t="s">
        <v>25</v>
      </c>
      <c r="C862" t="str">
        <f t="shared" si="65"/>
        <v>Single</v>
      </c>
      <c r="D862" t="s">
        <v>13</v>
      </c>
      <c r="E862" t="str">
        <f t="shared" si="66"/>
        <v>Male</v>
      </c>
      <c r="F862" s="3">
        <v>30000</v>
      </c>
      <c r="G862" s="3" t="str">
        <f t="shared" si="67"/>
        <v>Lower Class</v>
      </c>
      <c r="H862">
        <v>0</v>
      </c>
      <c r="I862" t="s">
        <v>21</v>
      </c>
      <c r="J862" t="s">
        <v>16</v>
      </c>
      <c r="K862" t="s">
        <v>17</v>
      </c>
      <c r="L862" t="str">
        <f t="shared" si="68"/>
        <v>Home Owner</v>
      </c>
      <c r="M862">
        <v>1</v>
      </c>
      <c r="N862" t="s">
        <v>26</v>
      </c>
      <c r="O862" t="s">
        <v>35</v>
      </c>
      <c r="P862">
        <v>32</v>
      </c>
      <c r="Q862" t="str">
        <f t="shared" si="69"/>
        <v>25 to 34 yrs</v>
      </c>
      <c r="R862" t="s">
        <v>20</v>
      </c>
    </row>
    <row r="863" spans="1:18">
      <c r="A863">
        <v>13714</v>
      </c>
      <c r="B863" t="s">
        <v>13</v>
      </c>
      <c r="C863" t="str">
        <f t="shared" si="65"/>
        <v>Married</v>
      </c>
      <c r="D863" t="s">
        <v>14</v>
      </c>
      <c r="E863" t="str">
        <f t="shared" si="66"/>
        <v>Female</v>
      </c>
      <c r="F863" s="3">
        <v>20000</v>
      </c>
      <c r="G863" s="3" t="str">
        <f t="shared" si="67"/>
        <v>Lower Class</v>
      </c>
      <c r="H863">
        <v>2</v>
      </c>
      <c r="I863" t="s">
        <v>30</v>
      </c>
      <c r="J863" t="s">
        <v>28</v>
      </c>
      <c r="K863" t="s">
        <v>20</v>
      </c>
      <c r="L863" t="str">
        <f t="shared" si="68"/>
        <v>Tenant</v>
      </c>
      <c r="M863">
        <v>2</v>
      </c>
      <c r="N863" t="s">
        <v>29</v>
      </c>
      <c r="O863" t="s">
        <v>35</v>
      </c>
      <c r="P863">
        <v>53</v>
      </c>
      <c r="Q863" t="str">
        <f t="shared" si="69"/>
        <v>45 to 54 yrs</v>
      </c>
      <c r="R863" t="s">
        <v>17</v>
      </c>
    </row>
    <row r="864" spans="1:18">
      <c r="A864">
        <v>22330</v>
      </c>
      <c r="B864" t="s">
        <v>13</v>
      </c>
      <c r="C864" t="str">
        <f t="shared" si="65"/>
        <v>Married</v>
      </c>
      <c r="D864" t="s">
        <v>13</v>
      </c>
      <c r="E864" t="str">
        <f t="shared" si="66"/>
        <v>Male</v>
      </c>
      <c r="F864" s="3">
        <v>50000</v>
      </c>
      <c r="G864" s="3" t="str">
        <f t="shared" si="67"/>
        <v>Lower Class</v>
      </c>
      <c r="H864">
        <v>0</v>
      </c>
      <c r="I864" t="s">
        <v>34</v>
      </c>
      <c r="J864" t="s">
        <v>16</v>
      </c>
      <c r="K864" t="s">
        <v>17</v>
      </c>
      <c r="L864" t="str">
        <f t="shared" si="68"/>
        <v>Home Owner</v>
      </c>
      <c r="M864">
        <v>0</v>
      </c>
      <c r="N864" t="s">
        <v>29</v>
      </c>
      <c r="O864" t="s">
        <v>35</v>
      </c>
      <c r="P864">
        <v>32</v>
      </c>
      <c r="Q864" t="str">
        <f t="shared" si="69"/>
        <v>25 to 34 yrs</v>
      </c>
      <c r="R864" t="s">
        <v>17</v>
      </c>
    </row>
    <row r="865" spans="1:18">
      <c r="A865">
        <v>18783</v>
      </c>
      <c r="B865" t="s">
        <v>25</v>
      </c>
      <c r="C865" t="str">
        <f t="shared" si="65"/>
        <v>Single</v>
      </c>
      <c r="D865" t="s">
        <v>13</v>
      </c>
      <c r="E865" t="str">
        <f t="shared" si="66"/>
        <v>Male</v>
      </c>
      <c r="F865" s="3">
        <v>80000</v>
      </c>
      <c r="G865" s="3" t="str">
        <f t="shared" si="67"/>
        <v>Middle Class</v>
      </c>
      <c r="H865">
        <v>0</v>
      </c>
      <c r="I865" t="s">
        <v>15</v>
      </c>
      <c r="J865" t="s">
        <v>31</v>
      </c>
      <c r="K865" t="s">
        <v>20</v>
      </c>
      <c r="L865" t="str">
        <f t="shared" si="68"/>
        <v>Tenant</v>
      </c>
      <c r="M865">
        <v>1</v>
      </c>
      <c r="N865" t="s">
        <v>18</v>
      </c>
      <c r="O865" t="s">
        <v>35</v>
      </c>
      <c r="P865">
        <v>38</v>
      </c>
      <c r="Q865" t="str">
        <f t="shared" si="69"/>
        <v>35 to 44 yrs</v>
      </c>
      <c r="R865" t="s">
        <v>17</v>
      </c>
    </row>
    <row r="866" spans="1:18">
      <c r="A866">
        <v>25041</v>
      </c>
      <c r="B866" t="s">
        <v>25</v>
      </c>
      <c r="C866" t="str">
        <f t="shared" si="65"/>
        <v>Single</v>
      </c>
      <c r="D866" t="s">
        <v>13</v>
      </c>
      <c r="E866" t="str">
        <f t="shared" si="66"/>
        <v>Male</v>
      </c>
      <c r="F866" s="3">
        <v>40000</v>
      </c>
      <c r="G866" s="3" t="str">
        <f t="shared" si="67"/>
        <v>Lower Class</v>
      </c>
      <c r="H866">
        <v>0</v>
      </c>
      <c r="I866" t="s">
        <v>30</v>
      </c>
      <c r="J866" t="s">
        <v>16</v>
      </c>
      <c r="K866" t="s">
        <v>17</v>
      </c>
      <c r="L866" t="str">
        <f t="shared" si="68"/>
        <v>Home Owner</v>
      </c>
      <c r="M866">
        <v>2</v>
      </c>
      <c r="N866" t="s">
        <v>26</v>
      </c>
      <c r="O866" t="s">
        <v>35</v>
      </c>
      <c r="P866">
        <v>31</v>
      </c>
      <c r="Q866" t="str">
        <f t="shared" si="69"/>
        <v>25 to 34 yrs</v>
      </c>
      <c r="R866" t="s">
        <v>20</v>
      </c>
    </row>
    <row r="867" spans="1:18">
      <c r="A867">
        <v>22046</v>
      </c>
      <c r="B867" t="s">
        <v>25</v>
      </c>
      <c r="C867" t="str">
        <f t="shared" si="65"/>
        <v>Single</v>
      </c>
      <c r="D867" t="s">
        <v>14</v>
      </c>
      <c r="E867" t="str">
        <f t="shared" si="66"/>
        <v>Female</v>
      </c>
      <c r="F867" s="3">
        <v>80000</v>
      </c>
      <c r="G867" s="3" t="str">
        <f t="shared" si="67"/>
        <v>Middle Class</v>
      </c>
      <c r="H867">
        <v>0</v>
      </c>
      <c r="I867" t="s">
        <v>15</v>
      </c>
      <c r="J867" t="s">
        <v>31</v>
      </c>
      <c r="K867" t="s">
        <v>20</v>
      </c>
      <c r="L867" t="str">
        <f t="shared" si="68"/>
        <v>Tenant</v>
      </c>
      <c r="M867">
        <v>1</v>
      </c>
      <c r="N867" t="s">
        <v>18</v>
      </c>
      <c r="O867" t="s">
        <v>35</v>
      </c>
      <c r="P867">
        <v>38</v>
      </c>
      <c r="Q867" t="str">
        <f t="shared" si="69"/>
        <v>35 to 44 yrs</v>
      </c>
      <c r="R867" t="s">
        <v>17</v>
      </c>
    </row>
    <row r="868" spans="1:18">
      <c r="A868">
        <v>28052</v>
      </c>
      <c r="B868" t="s">
        <v>13</v>
      </c>
      <c r="C868" t="str">
        <f t="shared" si="65"/>
        <v>Married</v>
      </c>
      <c r="D868" t="s">
        <v>13</v>
      </c>
      <c r="E868" t="str">
        <f t="shared" si="66"/>
        <v>Male</v>
      </c>
      <c r="F868" s="3">
        <v>60000</v>
      </c>
      <c r="G868" s="3" t="str">
        <f t="shared" si="67"/>
        <v>Middle Class</v>
      </c>
      <c r="H868">
        <v>2</v>
      </c>
      <c r="I868" t="s">
        <v>30</v>
      </c>
      <c r="J868" t="s">
        <v>23</v>
      </c>
      <c r="K868" t="s">
        <v>17</v>
      </c>
      <c r="L868" t="str">
        <f t="shared" si="68"/>
        <v>Home Owner</v>
      </c>
      <c r="M868">
        <v>2</v>
      </c>
      <c r="N868" t="s">
        <v>33</v>
      </c>
      <c r="O868" t="s">
        <v>35</v>
      </c>
      <c r="P868">
        <v>55</v>
      </c>
      <c r="Q868" t="str">
        <f t="shared" si="69"/>
        <v>55 to 64 yrs</v>
      </c>
      <c r="R868" t="s">
        <v>20</v>
      </c>
    </row>
    <row r="869" spans="1:18">
      <c r="A869">
        <v>26693</v>
      </c>
      <c r="B869" t="s">
        <v>13</v>
      </c>
      <c r="C869" t="str">
        <f t="shared" si="65"/>
        <v>Married</v>
      </c>
      <c r="D869" t="s">
        <v>13</v>
      </c>
      <c r="E869" t="str">
        <f t="shared" si="66"/>
        <v>Male</v>
      </c>
      <c r="F869" s="3">
        <v>70000</v>
      </c>
      <c r="G869" s="3" t="str">
        <f t="shared" si="67"/>
        <v>Middle Class</v>
      </c>
      <c r="H869">
        <v>3</v>
      </c>
      <c r="I869" t="s">
        <v>21</v>
      </c>
      <c r="J869" t="s">
        <v>23</v>
      </c>
      <c r="K869" t="s">
        <v>17</v>
      </c>
      <c r="L869" t="str">
        <f t="shared" si="68"/>
        <v>Home Owner</v>
      </c>
      <c r="M869">
        <v>1</v>
      </c>
      <c r="N869" t="s">
        <v>26</v>
      </c>
      <c r="O869" t="s">
        <v>35</v>
      </c>
      <c r="P869">
        <v>49</v>
      </c>
      <c r="Q869" t="str">
        <f t="shared" si="69"/>
        <v>45 to 54 yrs</v>
      </c>
      <c r="R869" t="s">
        <v>20</v>
      </c>
    </row>
    <row r="870" spans="1:18">
      <c r="A870">
        <v>24955</v>
      </c>
      <c r="B870" t="s">
        <v>25</v>
      </c>
      <c r="C870" t="str">
        <f t="shared" si="65"/>
        <v>Single</v>
      </c>
      <c r="D870" t="s">
        <v>13</v>
      </c>
      <c r="E870" t="str">
        <f t="shared" si="66"/>
        <v>Male</v>
      </c>
      <c r="F870" s="3">
        <v>30000</v>
      </c>
      <c r="G870" s="3" t="str">
        <f t="shared" si="67"/>
        <v>Lower Class</v>
      </c>
      <c r="H870">
        <v>5</v>
      </c>
      <c r="I870" t="s">
        <v>32</v>
      </c>
      <c r="J870" t="s">
        <v>16</v>
      </c>
      <c r="K870" t="s">
        <v>17</v>
      </c>
      <c r="L870" t="str">
        <f t="shared" si="68"/>
        <v>Home Owner</v>
      </c>
      <c r="M870">
        <v>3</v>
      </c>
      <c r="N870" t="s">
        <v>33</v>
      </c>
      <c r="O870" t="s">
        <v>35</v>
      </c>
      <c r="P870">
        <v>60</v>
      </c>
      <c r="Q870" t="str">
        <f t="shared" si="69"/>
        <v>55 to 64 yrs</v>
      </c>
      <c r="R870" t="s">
        <v>17</v>
      </c>
    </row>
    <row r="871" spans="1:18">
      <c r="A871">
        <v>26065</v>
      </c>
      <c r="B871" t="s">
        <v>25</v>
      </c>
      <c r="C871" t="str">
        <f t="shared" si="65"/>
        <v>Single</v>
      </c>
      <c r="D871" t="s">
        <v>14</v>
      </c>
      <c r="E871" t="str">
        <f t="shared" si="66"/>
        <v>Female</v>
      </c>
      <c r="F871" s="3">
        <v>110000</v>
      </c>
      <c r="G871" s="3" t="str">
        <f t="shared" si="67"/>
        <v>Middle Class</v>
      </c>
      <c r="H871">
        <v>3</v>
      </c>
      <c r="I871" t="s">
        <v>15</v>
      </c>
      <c r="J871" t="s">
        <v>31</v>
      </c>
      <c r="K871" t="s">
        <v>20</v>
      </c>
      <c r="L871" t="str">
        <f t="shared" si="68"/>
        <v>Tenant</v>
      </c>
      <c r="M871">
        <v>4</v>
      </c>
      <c r="N871" t="s">
        <v>29</v>
      </c>
      <c r="O871" t="s">
        <v>35</v>
      </c>
      <c r="P871">
        <v>42</v>
      </c>
      <c r="Q871" t="str">
        <f t="shared" si="69"/>
        <v>35 to 44 yrs</v>
      </c>
      <c r="R871" t="s">
        <v>20</v>
      </c>
    </row>
    <row r="872" spans="1:18">
      <c r="A872">
        <v>13942</v>
      </c>
      <c r="B872" t="s">
        <v>13</v>
      </c>
      <c r="C872" t="str">
        <f t="shared" si="65"/>
        <v>Married</v>
      </c>
      <c r="D872" t="s">
        <v>13</v>
      </c>
      <c r="E872" t="str">
        <f t="shared" si="66"/>
        <v>Male</v>
      </c>
      <c r="F872" s="3">
        <v>60000</v>
      </c>
      <c r="G872" s="3" t="str">
        <f t="shared" si="67"/>
        <v>Middle Class</v>
      </c>
      <c r="H872">
        <v>1</v>
      </c>
      <c r="I872" t="s">
        <v>21</v>
      </c>
      <c r="J872" t="s">
        <v>16</v>
      </c>
      <c r="K872" t="s">
        <v>17</v>
      </c>
      <c r="L872" t="str">
        <f t="shared" si="68"/>
        <v>Home Owner</v>
      </c>
      <c r="M872">
        <v>1</v>
      </c>
      <c r="N872" t="s">
        <v>18</v>
      </c>
      <c r="O872" t="s">
        <v>35</v>
      </c>
      <c r="P872">
        <v>46</v>
      </c>
      <c r="Q872" t="str">
        <f t="shared" si="69"/>
        <v>45 to 54 yrs</v>
      </c>
      <c r="R872" t="s">
        <v>20</v>
      </c>
    </row>
    <row r="873" spans="1:18">
      <c r="A873">
        <v>11219</v>
      </c>
      <c r="B873" t="s">
        <v>13</v>
      </c>
      <c r="C873" t="str">
        <f t="shared" si="65"/>
        <v>Married</v>
      </c>
      <c r="D873" t="s">
        <v>13</v>
      </c>
      <c r="E873" t="str">
        <f t="shared" si="66"/>
        <v>Male</v>
      </c>
      <c r="F873" s="3">
        <v>60000</v>
      </c>
      <c r="G873" s="3" t="str">
        <f t="shared" si="67"/>
        <v>Middle Class</v>
      </c>
      <c r="H873">
        <v>2</v>
      </c>
      <c r="I873" t="s">
        <v>30</v>
      </c>
      <c r="J873" t="s">
        <v>23</v>
      </c>
      <c r="K873" t="s">
        <v>17</v>
      </c>
      <c r="L873" t="str">
        <f t="shared" si="68"/>
        <v>Home Owner</v>
      </c>
      <c r="M873">
        <v>2</v>
      </c>
      <c r="N873" t="s">
        <v>33</v>
      </c>
      <c r="O873" t="s">
        <v>35</v>
      </c>
      <c r="P873">
        <v>55</v>
      </c>
      <c r="Q873" t="str">
        <f t="shared" si="69"/>
        <v>55 to 64 yrs</v>
      </c>
      <c r="R873" t="s">
        <v>20</v>
      </c>
    </row>
    <row r="874" spans="1:18">
      <c r="A874">
        <v>22118</v>
      </c>
      <c r="B874" t="s">
        <v>25</v>
      </c>
      <c r="C874" t="str">
        <f t="shared" si="65"/>
        <v>Single</v>
      </c>
      <c r="D874" t="s">
        <v>14</v>
      </c>
      <c r="E874" t="str">
        <f t="shared" si="66"/>
        <v>Female</v>
      </c>
      <c r="F874" s="3">
        <v>70000</v>
      </c>
      <c r="G874" s="3" t="str">
        <f t="shared" si="67"/>
        <v>Middle Class</v>
      </c>
      <c r="H874">
        <v>3</v>
      </c>
      <c r="I874" t="s">
        <v>34</v>
      </c>
      <c r="J874" t="s">
        <v>31</v>
      </c>
      <c r="K874" t="s">
        <v>17</v>
      </c>
      <c r="L874" t="str">
        <f t="shared" si="68"/>
        <v>Home Owner</v>
      </c>
      <c r="M874">
        <v>2</v>
      </c>
      <c r="N874" t="s">
        <v>26</v>
      </c>
      <c r="O874" t="s">
        <v>35</v>
      </c>
      <c r="P874">
        <v>53</v>
      </c>
      <c r="Q874" t="str">
        <f t="shared" si="69"/>
        <v>45 to 54 yrs</v>
      </c>
      <c r="R874" t="s">
        <v>17</v>
      </c>
    </row>
    <row r="875" spans="1:18">
      <c r="A875">
        <v>23197</v>
      </c>
      <c r="B875" t="s">
        <v>13</v>
      </c>
      <c r="C875" t="str">
        <f t="shared" si="65"/>
        <v>Married</v>
      </c>
      <c r="D875" t="s">
        <v>13</v>
      </c>
      <c r="E875" t="str">
        <f t="shared" si="66"/>
        <v>Male</v>
      </c>
      <c r="F875" s="3">
        <v>50000</v>
      </c>
      <c r="G875" s="3" t="str">
        <f t="shared" si="67"/>
        <v>Lower Class</v>
      </c>
      <c r="H875">
        <v>3</v>
      </c>
      <c r="I875" t="s">
        <v>15</v>
      </c>
      <c r="J875" t="s">
        <v>16</v>
      </c>
      <c r="K875" t="s">
        <v>17</v>
      </c>
      <c r="L875" t="str">
        <f t="shared" si="68"/>
        <v>Home Owner</v>
      </c>
      <c r="M875">
        <v>2</v>
      </c>
      <c r="N875" t="s">
        <v>24</v>
      </c>
      <c r="O875" t="s">
        <v>35</v>
      </c>
      <c r="P875">
        <v>40</v>
      </c>
      <c r="Q875" t="str">
        <f t="shared" si="69"/>
        <v>35 to 44 yrs</v>
      </c>
      <c r="R875" t="s">
        <v>20</v>
      </c>
    </row>
    <row r="876" spans="1:18">
      <c r="A876">
        <v>14883</v>
      </c>
      <c r="B876" t="s">
        <v>13</v>
      </c>
      <c r="C876" t="str">
        <f t="shared" si="65"/>
        <v>Married</v>
      </c>
      <c r="D876" t="s">
        <v>14</v>
      </c>
      <c r="E876" t="str">
        <f t="shared" si="66"/>
        <v>Female</v>
      </c>
      <c r="F876" s="3">
        <v>30000</v>
      </c>
      <c r="G876" s="3" t="str">
        <f t="shared" si="67"/>
        <v>Lower Class</v>
      </c>
      <c r="H876">
        <v>1</v>
      </c>
      <c r="I876" t="s">
        <v>15</v>
      </c>
      <c r="J876" t="s">
        <v>16</v>
      </c>
      <c r="K876" t="s">
        <v>17</v>
      </c>
      <c r="L876" t="str">
        <f t="shared" si="68"/>
        <v>Home Owner</v>
      </c>
      <c r="M876">
        <v>1</v>
      </c>
      <c r="N876" t="s">
        <v>26</v>
      </c>
      <c r="O876" t="s">
        <v>35</v>
      </c>
      <c r="P876">
        <v>53</v>
      </c>
      <c r="Q876" t="str">
        <f t="shared" si="69"/>
        <v>45 to 54 yrs</v>
      </c>
      <c r="R876" t="s">
        <v>17</v>
      </c>
    </row>
    <row r="877" spans="1:18">
      <c r="A877">
        <v>27279</v>
      </c>
      <c r="B877" t="s">
        <v>25</v>
      </c>
      <c r="C877" t="str">
        <f t="shared" si="65"/>
        <v>Single</v>
      </c>
      <c r="D877" t="s">
        <v>14</v>
      </c>
      <c r="E877" t="str">
        <f t="shared" si="66"/>
        <v>Female</v>
      </c>
      <c r="F877" s="3">
        <v>70000</v>
      </c>
      <c r="G877" s="3" t="str">
        <f t="shared" si="67"/>
        <v>Middle Class</v>
      </c>
      <c r="H877">
        <v>2</v>
      </c>
      <c r="I877" t="s">
        <v>15</v>
      </c>
      <c r="J877" t="s">
        <v>16</v>
      </c>
      <c r="K877" t="s">
        <v>17</v>
      </c>
      <c r="L877" t="str">
        <f t="shared" si="68"/>
        <v>Home Owner</v>
      </c>
      <c r="M877">
        <v>0</v>
      </c>
      <c r="N877" t="s">
        <v>24</v>
      </c>
      <c r="O877" t="s">
        <v>35</v>
      </c>
      <c r="P877">
        <v>38</v>
      </c>
      <c r="Q877" t="str">
        <f t="shared" si="69"/>
        <v>35 to 44 yrs</v>
      </c>
      <c r="R877" t="s">
        <v>17</v>
      </c>
    </row>
    <row r="878" spans="1:18">
      <c r="A878">
        <v>18322</v>
      </c>
      <c r="B878" t="s">
        <v>25</v>
      </c>
      <c r="C878" t="str">
        <f t="shared" si="65"/>
        <v>Single</v>
      </c>
      <c r="D878" t="s">
        <v>13</v>
      </c>
      <c r="E878" t="str">
        <f t="shared" si="66"/>
        <v>Male</v>
      </c>
      <c r="F878" s="3">
        <v>30000</v>
      </c>
      <c r="G878" s="3" t="str">
        <f t="shared" si="67"/>
        <v>Lower Class</v>
      </c>
      <c r="H878">
        <v>0</v>
      </c>
      <c r="I878" t="s">
        <v>32</v>
      </c>
      <c r="J878" t="s">
        <v>22</v>
      </c>
      <c r="K878" t="s">
        <v>20</v>
      </c>
      <c r="L878" t="str">
        <f t="shared" si="68"/>
        <v>Tenant</v>
      </c>
      <c r="M878">
        <v>2</v>
      </c>
      <c r="N878" t="s">
        <v>18</v>
      </c>
      <c r="O878" t="s">
        <v>35</v>
      </c>
      <c r="P878">
        <v>26</v>
      </c>
      <c r="Q878" t="str">
        <f t="shared" si="69"/>
        <v>25 to 34 yrs</v>
      </c>
      <c r="R878" t="s">
        <v>20</v>
      </c>
    </row>
    <row r="879" spans="1:18">
      <c r="A879">
        <v>15879</v>
      </c>
      <c r="B879" t="s">
        <v>13</v>
      </c>
      <c r="C879" t="str">
        <f t="shared" si="65"/>
        <v>Married</v>
      </c>
      <c r="D879" t="s">
        <v>13</v>
      </c>
      <c r="E879" t="str">
        <f t="shared" si="66"/>
        <v>Male</v>
      </c>
      <c r="F879" s="3">
        <v>70000</v>
      </c>
      <c r="G879" s="3" t="str">
        <f t="shared" si="67"/>
        <v>Middle Class</v>
      </c>
      <c r="H879">
        <v>5</v>
      </c>
      <c r="I879" t="s">
        <v>15</v>
      </c>
      <c r="J879" t="s">
        <v>31</v>
      </c>
      <c r="K879" t="s">
        <v>17</v>
      </c>
      <c r="L879" t="str">
        <f t="shared" si="68"/>
        <v>Home Owner</v>
      </c>
      <c r="M879">
        <v>2</v>
      </c>
      <c r="N879" t="s">
        <v>24</v>
      </c>
      <c r="O879" t="s">
        <v>35</v>
      </c>
      <c r="P879">
        <v>61</v>
      </c>
      <c r="Q879" t="str">
        <f t="shared" si="69"/>
        <v>55 to 64 yrs</v>
      </c>
      <c r="R879" t="s">
        <v>20</v>
      </c>
    </row>
    <row r="880" spans="1:18">
      <c r="A880">
        <v>28278</v>
      </c>
      <c r="B880" t="s">
        <v>13</v>
      </c>
      <c r="C880" t="str">
        <f t="shared" si="65"/>
        <v>Married</v>
      </c>
      <c r="D880" t="s">
        <v>13</v>
      </c>
      <c r="E880" t="str">
        <f t="shared" si="66"/>
        <v>Male</v>
      </c>
      <c r="F880" s="3">
        <v>50000</v>
      </c>
      <c r="G880" s="3" t="str">
        <f t="shared" si="67"/>
        <v>Lower Class</v>
      </c>
      <c r="H880">
        <v>2</v>
      </c>
      <c r="I880" t="s">
        <v>34</v>
      </c>
      <c r="J880" t="s">
        <v>31</v>
      </c>
      <c r="K880" t="s">
        <v>17</v>
      </c>
      <c r="L880" t="str">
        <f t="shared" si="68"/>
        <v>Home Owner</v>
      </c>
      <c r="M880">
        <v>2</v>
      </c>
      <c r="N880" t="s">
        <v>26</v>
      </c>
      <c r="O880" t="s">
        <v>35</v>
      </c>
      <c r="P880">
        <v>71</v>
      </c>
      <c r="Q880" t="str">
        <f t="shared" si="69"/>
        <v>65 yrs &amp; Above</v>
      </c>
      <c r="R880" t="s">
        <v>20</v>
      </c>
    </row>
    <row r="881" spans="1:18">
      <c r="A881">
        <v>24416</v>
      </c>
      <c r="B881" t="s">
        <v>13</v>
      </c>
      <c r="C881" t="str">
        <f t="shared" si="65"/>
        <v>Married</v>
      </c>
      <c r="D881" t="s">
        <v>13</v>
      </c>
      <c r="E881" t="str">
        <f t="shared" si="66"/>
        <v>Male</v>
      </c>
      <c r="F881" s="3">
        <v>90000</v>
      </c>
      <c r="G881" s="3" t="str">
        <f t="shared" si="67"/>
        <v>Middle Class</v>
      </c>
      <c r="H881">
        <v>4</v>
      </c>
      <c r="I881" t="s">
        <v>30</v>
      </c>
      <c r="J881" t="s">
        <v>23</v>
      </c>
      <c r="K881" t="s">
        <v>17</v>
      </c>
      <c r="L881" t="str">
        <f t="shared" si="68"/>
        <v>Home Owner</v>
      </c>
      <c r="M881">
        <v>2</v>
      </c>
      <c r="N881" t="s">
        <v>29</v>
      </c>
      <c r="O881" t="s">
        <v>35</v>
      </c>
      <c r="P881">
        <v>45</v>
      </c>
      <c r="Q881" t="str">
        <f t="shared" si="69"/>
        <v>45 to 54 yrs</v>
      </c>
      <c r="R881" t="s">
        <v>20</v>
      </c>
    </row>
    <row r="882" spans="1:18">
      <c r="A882">
        <v>28066</v>
      </c>
      <c r="B882" t="s">
        <v>13</v>
      </c>
      <c r="C882" t="str">
        <f t="shared" si="65"/>
        <v>Married</v>
      </c>
      <c r="D882" t="s">
        <v>13</v>
      </c>
      <c r="E882" t="str">
        <f t="shared" si="66"/>
        <v>Male</v>
      </c>
      <c r="F882" s="3">
        <v>80000</v>
      </c>
      <c r="G882" s="3" t="str">
        <f t="shared" si="67"/>
        <v>Middle Class</v>
      </c>
      <c r="H882">
        <v>2</v>
      </c>
      <c r="I882" t="s">
        <v>34</v>
      </c>
      <c r="J882" t="s">
        <v>23</v>
      </c>
      <c r="K882" t="s">
        <v>17</v>
      </c>
      <c r="L882" t="str">
        <f t="shared" si="68"/>
        <v>Home Owner</v>
      </c>
      <c r="M882">
        <v>0</v>
      </c>
      <c r="N882" t="s">
        <v>18</v>
      </c>
      <c r="O882" t="s">
        <v>35</v>
      </c>
      <c r="P882">
        <v>37</v>
      </c>
      <c r="Q882" t="str">
        <f t="shared" si="69"/>
        <v>35 to 44 yrs</v>
      </c>
      <c r="R882" t="s">
        <v>17</v>
      </c>
    </row>
    <row r="883" spans="1:18">
      <c r="A883">
        <v>11275</v>
      </c>
      <c r="B883" t="s">
        <v>13</v>
      </c>
      <c r="C883" t="str">
        <f t="shared" si="65"/>
        <v>Married</v>
      </c>
      <c r="D883" t="s">
        <v>14</v>
      </c>
      <c r="E883" t="str">
        <f t="shared" si="66"/>
        <v>Female</v>
      </c>
      <c r="F883" s="3">
        <v>80000</v>
      </c>
      <c r="G883" s="3" t="str">
        <f t="shared" si="67"/>
        <v>Middle Class</v>
      </c>
      <c r="H883">
        <v>4</v>
      </c>
      <c r="I883" t="s">
        <v>34</v>
      </c>
      <c r="J883" t="s">
        <v>31</v>
      </c>
      <c r="K883" t="s">
        <v>17</v>
      </c>
      <c r="L883" t="str">
        <f t="shared" si="68"/>
        <v>Home Owner</v>
      </c>
      <c r="M883">
        <v>2</v>
      </c>
      <c r="N883" t="s">
        <v>18</v>
      </c>
      <c r="O883" t="s">
        <v>35</v>
      </c>
      <c r="P883">
        <v>72</v>
      </c>
      <c r="Q883" t="str">
        <f t="shared" si="69"/>
        <v>65 yrs &amp; Above</v>
      </c>
      <c r="R883" t="s">
        <v>17</v>
      </c>
    </row>
    <row r="884" spans="1:18">
      <c r="A884">
        <v>14872</v>
      </c>
      <c r="B884" t="s">
        <v>13</v>
      </c>
      <c r="C884" t="str">
        <f t="shared" si="65"/>
        <v>Married</v>
      </c>
      <c r="D884" t="s">
        <v>13</v>
      </c>
      <c r="E884" t="str">
        <f t="shared" si="66"/>
        <v>Male</v>
      </c>
      <c r="F884" s="3">
        <v>30000</v>
      </c>
      <c r="G884" s="3" t="str">
        <f t="shared" si="67"/>
        <v>Lower Class</v>
      </c>
      <c r="H884">
        <v>0</v>
      </c>
      <c r="I884" t="s">
        <v>34</v>
      </c>
      <c r="J884" t="s">
        <v>16</v>
      </c>
      <c r="K884" t="s">
        <v>17</v>
      </c>
      <c r="L884" t="str">
        <f t="shared" si="68"/>
        <v>Home Owner</v>
      </c>
      <c r="M884">
        <v>0</v>
      </c>
      <c r="N884" t="s">
        <v>18</v>
      </c>
      <c r="O884" t="s">
        <v>35</v>
      </c>
      <c r="P884">
        <v>32</v>
      </c>
      <c r="Q884" t="str">
        <f t="shared" si="69"/>
        <v>25 to 34 yrs</v>
      </c>
      <c r="R884" t="s">
        <v>20</v>
      </c>
    </row>
    <row r="885" spans="1:18">
      <c r="A885">
        <v>16151</v>
      </c>
      <c r="B885" t="s">
        <v>13</v>
      </c>
      <c r="C885" t="str">
        <f t="shared" si="65"/>
        <v>Married</v>
      </c>
      <c r="D885" t="s">
        <v>14</v>
      </c>
      <c r="E885" t="str">
        <f t="shared" si="66"/>
        <v>Female</v>
      </c>
      <c r="F885" s="3">
        <v>60000</v>
      </c>
      <c r="G885" s="3" t="str">
        <f t="shared" si="67"/>
        <v>Middle Class</v>
      </c>
      <c r="H885">
        <v>1</v>
      </c>
      <c r="I885" t="s">
        <v>15</v>
      </c>
      <c r="J885" t="s">
        <v>23</v>
      </c>
      <c r="K885" t="s">
        <v>17</v>
      </c>
      <c r="L885" t="str">
        <f t="shared" si="68"/>
        <v>Home Owner</v>
      </c>
      <c r="M885">
        <v>1</v>
      </c>
      <c r="N885" t="s">
        <v>24</v>
      </c>
      <c r="O885" t="s">
        <v>35</v>
      </c>
      <c r="P885">
        <v>48</v>
      </c>
      <c r="Q885" t="str">
        <f t="shared" si="69"/>
        <v>45 to 54 yrs</v>
      </c>
      <c r="R885" t="s">
        <v>17</v>
      </c>
    </row>
    <row r="886" spans="1:18">
      <c r="A886">
        <v>19731</v>
      </c>
      <c r="B886" t="s">
        <v>13</v>
      </c>
      <c r="C886" t="str">
        <f t="shared" si="65"/>
        <v>Married</v>
      </c>
      <c r="D886" t="s">
        <v>13</v>
      </c>
      <c r="E886" t="str">
        <f t="shared" si="66"/>
        <v>Male</v>
      </c>
      <c r="F886" s="3">
        <v>80000</v>
      </c>
      <c r="G886" s="3" t="str">
        <f t="shared" si="67"/>
        <v>Middle Class</v>
      </c>
      <c r="H886">
        <v>4</v>
      </c>
      <c r="I886" t="s">
        <v>34</v>
      </c>
      <c r="J886" t="s">
        <v>31</v>
      </c>
      <c r="K886" t="s">
        <v>17</v>
      </c>
      <c r="L886" t="str">
        <f t="shared" si="68"/>
        <v>Home Owner</v>
      </c>
      <c r="M886">
        <v>2</v>
      </c>
      <c r="N886" t="s">
        <v>26</v>
      </c>
      <c r="O886" t="s">
        <v>35</v>
      </c>
      <c r="P886">
        <v>68</v>
      </c>
      <c r="Q886" t="str">
        <f t="shared" si="69"/>
        <v>65 yrs &amp; Above</v>
      </c>
      <c r="R886" t="s">
        <v>20</v>
      </c>
    </row>
    <row r="887" spans="1:18">
      <c r="A887">
        <v>23801</v>
      </c>
      <c r="B887" t="s">
        <v>13</v>
      </c>
      <c r="C887" t="str">
        <f t="shared" si="65"/>
        <v>Married</v>
      </c>
      <c r="D887" t="s">
        <v>14</v>
      </c>
      <c r="E887" t="str">
        <f t="shared" si="66"/>
        <v>Female</v>
      </c>
      <c r="F887" s="3">
        <v>20000</v>
      </c>
      <c r="G887" s="3" t="str">
        <f t="shared" si="67"/>
        <v>Lower Class</v>
      </c>
      <c r="H887">
        <v>2</v>
      </c>
      <c r="I887" t="s">
        <v>32</v>
      </c>
      <c r="J887" t="s">
        <v>22</v>
      </c>
      <c r="K887" t="s">
        <v>17</v>
      </c>
      <c r="L887" t="str">
        <f t="shared" si="68"/>
        <v>Home Owner</v>
      </c>
      <c r="M887">
        <v>2</v>
      </c>
      <c r="N887" t="s">
        <v>18</v>
      </c>
      <c r="O887" t="s">
        <v>35</v>
      </c>
      <c r="P887">
        <v>49</v>
      </c>
      <c r="Q887" t="str">
        <f t="shared" si="69"/>
        <v>45 to 54 yrs</v>
      </c>
      <c r="R887" t="s">
        <v>20</v>
      </c>
    </row>
    <row r="888" spans="1:18">
      <c r="A888">
        <v>11807</v>
      </c>
      <c r="B888" t="s">
        <v>13</v>
      </c>
      <c r="C888" t="str">
        <f t="shared" si="65"/>
        <v>Married</v>
      </c>
      <c r="D888" t="s">
        <v>13</v>
      </c>
      <c r="E888" t="str">
        <f t="shared" si="66"/>
        <v>Male</v>
      </c>
      <c r="F888" s="3">
        <v>70000</v>
      </c>
      <c r="G888" s="3" t="str">
        <f t="shared" si="67"/>
        <v>Middle Class</v>
      </c>
      <c r="H888">
        <v>3</v>
      </c>
      <c r="I888" t="s">
        <v>34</v>
      </c>
      <c r="J888" t="s">
        <v>23</v>
      </c>
      <c r="K888" t="s">
        <v>17</v>
      </c>
      <c r="L888" t="str">
        <f t="shared" si="68"/>
        <v>Home Owner</v>
      </c>
      <c r="M888">
        <v>0</v>
      </c>
      <c r="N888" t="s">
        <v>24</v>
      </c>
      <c r="O888" t="s">
        <v>35</v>
      </c>
      <c r="P888">
        <v>34</v>
      </c>
      <c r="Q888" t="str">
        <f t="shared" si="69"/>
        <v>25 to 34 yrs</v>
      </c>
      <c r="R888" t="s">
        <v>20</v>
      </c>
    </row>
    <row r="889" spans="1:18">
      <c r="A889">
        <v>11622</v>
      </c>
      <c r="B889" t="s">
        <v>13</v>
      </c>
      <c r="C889" t="str">
        <f t="shared" si="65"/>
        <v>Married</v>
      </c>
      <c r="D889" t="s">
        <v>13</v>
      </c>
      <c r="E889" t="str">
        <f t="shared" si="66"/>
        <v>Male</v>
      </c>
      <c r="F889" s="3">
        <v>50000</v>
      </c>
      <c r="G889" s="3" t="str">
        <f t="shared" si="67"/>
        <v>Lower Class</v>
      </c>
      <c r="H889">
        <v>0</v>
      </c>
      <c r="I889" t="s">
        <v>34</v>
      </c>
      <c r="J889" t="s">
        <v>16</v>
      </c>
      <c r="K889" t="s">
        <v>17</v>
      </c>
      <c r="L889" t="str">
        <f t="shared" si="68"/>
        <v>Home Owner</v>
      </c>
      <c r="M889">
        <v>0</v>
      </c>
      <c r="N889" t="s">
        <v>18</v>
      </c>
      <c r="O889" t="s">
        <v>35</v>
      </c>
      <c r="P889">
        <v>32</v>
      </c>
      <c r="Q889" t="str">
        <f t="shared" si="69"/>
        <v>25 to 34 yrs</v>
      </c>
      <c r="R889" t="s">
        <v>20</v>
      </c>
    </row>
    <row r="890" spans="1:18">
      <c r="A890">
        <v>26597</v>
      </c>
      <c r="B890" t="s">
        <v>25</v>
      </c>
      <c r="C890" t="str">
        <f t="shared" si="65"/>
        <v>Single</v>
      </c>
      <c r="D890" t="s">
        <v>14</v>
      </c>
      <c r="E890" t="str">
        <f t="shared" si="66"/>
        <v>Female</v>
      </c>
      <c r="F890" s="3">
        <v>60000</v>
      </c>
      <c r="G890" s="3" t="str">
        <f t="shared" si="67"/>
        <v>Middle Class</v>
      </c>
      <c r="H890">
        <v>4</v>
      </c>
      <c r="I890" t="s">
        <v>15</v>
      </c>
      <c r="J890" t="s">
        <v>16</v>
      </c>
      <c r="K890" t="s">
        <v>20</v>
      </c>
      <c r="L890" t="str">
        <f t="shared" si="68"/>
        <v>Tenant</v>
      </c>
      <c r="M890">
        <v>2</v>
      </c>
      <c r="N890" t="s">
        <v>18</v>
      </c>
      <c r="O890" t="s">
        <v>35</v>
      </c>
      <c r="P890">
        <v>42</v>
      </c>
      <c r="Q890" t="str">
        <f t="shared" si="69"/>
        <v>35 to 44 yrs</v>
      </c>
      <c r="R890" t="s">
        <v>20</v>
      </c>
    </row>
    <row r="891" spans="1:18">
      <c r="A891">
        <v>27074</v>
      </c>
      <c r="B891" t="s">
        <v>13</v>
      </c>
      <c r="C891" t="str">
        <f t="shared" si="65"/>
        <v>Married</v>
      </c>
      <c r="D891" t="s">
        <v>14</v>
      </c>
      <c r="E891" t="str">
        <f t="shared" si="66"/>
        <v>Female</v>
      </c>
      <c r="F891" s="3">
        <v>70000</v>
      </c>
      <c r="G891" s="3" t="str">
        <f t="shared" si="67"/>
        <v>Middle Class</v>
      </c>
      <c r="H891">
        <v>1</v>
      </c>
      <c r="I891" t="s">
        <v>34</v>
      </c>
      <c r="J891" t="s">
        <v>16</v>
      </c>
      <c r="K891" t="s">
        <v>17</v>
      </c>
      <c r="L891" t="str">
        <f t="shared" si="68"/>
        <v>Home Owner</v>
      </c>
      <c r="M891">
        <v>0</v>
      </c>
      <c r="N891" t="s">
        <v>18</v>
      </c>
      <c r="O891" t="s">
        <v>35</v>
      </c>
      <c r="P891">
        <v>35</v>
      </c>
      <c r="Q891" t="str">
        <f t="shared" si="69"/>
        <v>35 to 44 yrs</v>
      </c>
      <c r="R891" t="s">
        <v>17</v>
      </c>
    </row>
    <row r="892" spans="1:18">
      <c r="A892">
        <v>19228</v>
      </c>
      <c r="B892" t="s">
        <v>13</v>
      </c>
      <c r="C892" t="str">
        <f t="shared" si="65"/>
        <v>Married</v>
      </c>
      <c r="D892" t="s">
        <v>14</v>
      </c>
      <c r="E892" t="str">
        <f t="shared" si="66"/>
        <v>Female</v>
      </c>
      <c r="F892" s="3">
        <v>40000</v>
      </c>
      <c r="G892" s="3" t="str">
        <f t="shared" si="67"/>
        <v>Lower Class</v>
      </c>
      <c r="H892">
        <v>2</v>
      </c>
      <c r="I892" t="s">
        <v>21</v>
      </c>
      <c r="J892" t="s">
        <v>22</v>
      </c>
      <c r="K892" t="s">
        <v>17</v>
      </c>
      <c r="L892" t="str">
        <f t="shared" si="68"/>
        <v>Home Owner</v>
      </c>
      <c r="M892">
        <v>1</v>
      </c>
      <c r="N892" t="s">
        <v>18</v>
      </c>
      <c r="O892" t="s">
        <v>35</v>
      </c>
      <c r="P892">
        <v>48</v>
      </c>
      <c r="Q892" t="str">
        <f t="shared" si="69"/>
        <v>45 to 54 yrs</v>
      </c>
      <c r="R892" t="s">
        <v>20</v>
      </c>
    </row>
    <row r="893" spans="1:18">
      <c r="A893">
        <v>13415</v>
      </c>
      <c r="B893" t="s">
        <v>25</v>
      </c>
      <c r="C893" t="str">
        <f t="shared" si="65"/>
        <v>Single</v>
      </c>
      <c r="D893" t="s">
        <v>13</v>
      </c>
      <c r="E893" t="str">
        <f t="shared" si="66"/>
        <v>Male</v>
      </c>
      <c r="F893" s="3">
        <v>100000</v>
      </c>
      <c r="G893" s="3" t="str">
        <f t="shared" si="67"/>
        <v>Middle Class</v>
      </c>
      <c r="H893">
        <v>1</v>
      </c>
      <c r="I893" t="s">
        <v>34</v>
      </c>
      <c r="J893" t="s">
        <v>31</v>
      </c>
      <c r="K893" t="s">
        <v>17</v>
      </c>
      <c r="L893" t="str">
        <f t="shared" si="68"/>
        <v>Home Owner</v>
      </c>
      <c r="M893">
        <v>3</v>
      </c>
      <c r="N893" t="s">
        <v>24</v>
      </c>
      <c r="O893" t="s">
        <v>35</v>
      </c>
      <c r="P893">
        <v>73</v>
      </c>
      <c r="Q893" t="str">
        <f t="shared" si="69"/>
        <v>65 yrs &amp; Above</v>
      </c>
      <c r="R893" t="s">
        <v>17</v>
      </c>
    </row>
    <row r="894" spans="1:18">
      <c r="A894">
        <v>17000</v>
      </c>
      <c r="B894" t="s">
        <v>25</v>
      </c>
      <c r="C894" t="str">
        <f t="shared" si="65"/>
        <v>Single</v>
      </c>
      <c r="D894" t="s">
        <v>14</v>
      </c>
      <c r="E894" t="str">
        <f t="shared" si="66"/>
        <v>Female</v>
      </c>
      <c r="F894" s="3">
        <v>70000</v>
      </c>
      <c r="G894" s="3" t="str">
        <f t="shared" si="67"/>
        <v>Middle Class</v>
      </c>
      <c r="H894">
        <v>4</v>
      </c>
      <c r="I894" t="s">
        <v>15</v>
      </c>
      <c r="J894" t="s">
        <v>16</v>
      </c>
      <c r="K894" t="s">
        <v>17</v>
      </c>
      <c r="L894" t="str">
        <f t="shared" si="68"/>
        <v>Home Owner</v>
      </c>
      <c r="M894">
        <v>2</v>
      </c>
      <c r="N894" t="s">
        <v>24</v>
      </c>
      <c r="O894" t="s">
        <v>35</v>
      </c>
      <c r="P894">
        <v>43</v>
      </c>
      <c r="Q894" t="str">
        <f t="shared" si="69"/>
        <v>35 to 44 yrs</v>
      </c>
      <c r="R894" t="s">
        <v>17</v>
      </c>
    </row>
    <row r="895" spans="1:18">
      <c r="A895">
        <v>14569</v>
      </c>
      <c r="B895" t="s">
        <v>13</v>
      </c>
      <c r="C895" t="str">
        <f t="shared" si="65"/>
        <v>Married</v>
      </c>
      <c r="D895" t="s">
        <v>13</v>
      </c>
      <c r="E895" t="str">
        <f t="shared" si="66"/>
        <v>Male</v>
      </c>
      <c r="F895" s="3">
        <v>60000</v>
      </c>
      <c r="G895" s="3" t="str">
        <f t="shared" si="67"/>
        <v>Middle Class</v>
      </c>
      <c r="H895">
        <v>1</v>
      </c>
      <c r="I895" t="s">
        <v>34</v>
      </c>
      <c r="J895" t="s">
        <v>23</v>
      </c>
      <c r="K895" t="s">
        <v>17</v>
      </c>
      <c r="L895" t="str">
        <f t="shared" si="68"/>
        <v>Home Owner</v>
      </c>
      <c r="M895">
        <v>0</v>
      </c>
      <c r="N895" t="s">
        <v>18</v>
      </c>
      <c r="O895" t="s">
        <v>35</v>
      </c>
      <c r="P895">
        <v>35</v>
      </c>
      <c r="Q895" t="str">
        <f t="shared" si="69"/>
        <v>35 to 44 yrs</v>
      </c>
      <c r="R895" t="s">
        <v>20</v>
      </c>
    </row>
    <row r="896" spans="1:18">
      <c r="A896">
        <v>13873</v>
      </c>
      <c r="B896" t="s">
        <v>13</v>
      </c>
      <c r="C896" t="str">
        <f t="shared" si="65"/>
        <v>Married</v>
      </c>
      <c r="D896" t="s">
        <v>13</v>
      </c>
      <c r="E896" t="str">
        <f t="shared" si="66"/>
        <v>Male</v>
      </c>
      <c r="F896" s="3">
        <v>70000</v>
      </c>
      <c r="G896" s="3" t="str">
        <f t="shared" si="67"/>
        <v>Middle Class</v>
      </c>
      <c r="H896">
        <v>3</v>
      </c>
      <c r="I896" t="s">
        <v>34</v>
      </c>
      <c r="J896" t="s">
        <v>23</v>
      </c>
      <c r="K896" t="s">
        <v>17</v>
      </c>
      <c r="L896" t="str">
        <f t="shared" si="68"/>
        <v>Home Owner</v>
      </c>
      <c r="M896">
        <v>0</v>
      </c>
      <c r="N896" t="s">
        <v>18</v>
      </c>
      <c r="O896" t="s">
        <v>35</v>
      </c>
      <c r="P896">
        <v>35</v>
      </c>
      <c r="Q896" t="str">
        <f t="shared" si="69"/>
        <v>35 to 44 yrs</v>
      </c>
      <c r="R896" t="s">
        <v>17</v>
      </c>
    </row>
    <row r="897" spans="1:18">
      <c r="A897">
        <v>20401</v>
      </c>
      <c r="B897" t="s">
        <v>13</v>
      </c>
      <c r="C897" t="str">
        <f t="shared" si="65"/>
        <v>Married</v>
      </c>
      <c r="D897" t="s">
        <v>14</v>
      </c>
      <c r="E897" t="str">
        <f t="shared" si="66"/>
        <v>Female</v>
      </c>
      <c r="F897" s="3">
        <v>50000</v>
      </c>
      <c r="G897" s="3" t="str">
        <f t="shared" si="67"/>
        <v>Lower Class</v>
      </c>
      <c r="H897">
        <v>4</v>
      </c>
      <c r="I897" t="s">
        <v>15</v>
      </c>
      <c r="J897" t="s">
        <v>31</v>
      </c>
      <c r="K897" t="s">
        <v>17</v>
      </c>
      <c r="L897" t="str">
        <f t="shared" si="68"/>
        <v>Home Owner</v>
      </c>
      <c r="M897">
        <v>2</v>
      </c>
      <c r="N897" t="s">
        <v>29</v>
      </c>
      <c r="O897" t="s">
        <v>35</v>
      </c>
      <c r="P897">
        <v>64</v>
      </c>
      <c r="Q897" t="str">
        <f t="shared" si="69"/>
        <v>55 to 64 yrs</v>
      </c>
      <c r="R897" t="s">
        <v>17</v>
      </c>
    </row>
    <row r="898" spans="1:18">
      <c r="A898">
        <v>21583</v>
      </c>
      <c r="B898" t="s">
        <v>13</v>
      </c>
      <c r="C898" t="str">
        <f t="shared" si="65"/>
        <v>Married</v>
      </c>
      <c r="D898" t="s">
        <v>14</v>
      </c>
      <c r="E898" t="str">
        <f t="shared" si="66"/>
        <v>Female</v>
      </c>
      <c r="F898" s="3">
        <v>50000</v>
      </c>
      <c r="G898" s="3" t="str">
        <f t="shared" si="67"/>
        <v>Lower Class</v>
      </c>
      <c r="H898">
        <v>1</v>
      </c>
      <c r="I898" t="s">
        <v>15</v>
      </c>
      <c r="J898" t="s">
        <v>16</v>
      </c>
      <c r="K898" t="s">
        <v>17</v>
      </c>
      <c r="L898" t="str">
        <f t="shared" si="68"/>
        <v>Home Owner</v>
      </c>
      <c r="M898">
        <v>0</v>
      </c>
      <c r="N898" t="s">
        <v>18</v>
      </c>
      <c r="O898" t="s">
        <v>35</v>
      </c>
      <c r="P898">
        <v>34</v>
      </c>
      <c r="Q898" t="str">
        <f t="shared" si="69"/>
        <v>25 to 34 yrs</v>
      </c>
      <c r="R898" t="s">
        <v>17</v>
      </c>
    </row>
    <row r="899" spans="1:18">
      <c r="A899">
        <v>12029</v>
      </c>
      <c r="B899" t="s">
        <v>13</v>
      </c>
      <c r="C899" t="str">
        <f t="shared" ref="C899:C962" si="70">IF($B$2:$B$1001="M", "Married","Single")</f>
        <v>Married</v>
      </c>
      <c r="D899" t="s">
        <v>13</v>
      </c>
      <c r="E899" t="str">
        <f t="shared" ref="E899:E962" si="71">IF($D$2:$D$1001="F", "Female", "Male")</f>
        <v>Male</v>
      </c>
      <c r="F899" s="3">
        <v>30000</v>
      </c>
      <c r="G899" s="3" t="str">
        <f t="shared" ref="G899:G962" si="72">_xlfn.IFS(F899&lt;=57375,"Lower Class",F899&lt;=114750,"Middle Class",F899&lt;=253414,"Upper Middle Class",TRUE,"Upper Class")</f>
        <v>Lower Class</v>
      </c>
      <c r="H899">
        <v>0</v>
      </c>
      <c r="I899" t="s">
        <v>32</v>
      </c>
      <c r="J899" t="s">
        <v>22</v>
      </c>
      <c r="K899" t="s">
        <v>20</v>
      </c>
      <c r="L899" t="str">
        <f t="shared" ref="L899:L962" si="73">IF($K$2:$K$1001="Yes", "Home Owner","Tenant")</f>
        <v>Tenant</v>
      </c>
      <c r="M899">
        <v>2</v>
      </c>
      <c r="N899" t="s">
        <v>18</v>
      </c>
      <c r="O899" t="s">
        <v>35</v>
      </c>
      <c r="P899">
        <v>28</v>
      </c>
      <c r="Q899" t="str">
        <f t="shared" ref="Q899:Q962" si="74">_xlfn.IFS(P899&lt;25,"Less than 25 yrs",P899&lt;35,"25 to 34 yrs",P899&lt;45,"35 to 44 yrs",P899&lt;55,"45 to 54 yrs",P899&lt;65,"55 to 64 yrs", TRUE, "65 yrs &amp; Above")</f>
        <v>25 to 34 yrs</v>
      </c>
      <c r="R899" t="s">
        <v>20</v>
      </c>
    </row>
    <row r="900" spans="1:18">
      <c r="A900">
        <v>18066</v>
      </c>
      <c r="B900" t="s">
        <v>25</v>
      </c>
      <c r="C900" t="str">
        <f t="shared" si="70"/>
        <v>Single</v>
      </c>
      <c r="D900" t="s">
        <v>13</v>
      </c>
      <c r="E900" t="str">
        <f t="shared" si="71"/>
        <v>Male</v>
      </c>
      <c r="F900" s="3">
        <v>70000</v>
      </c>
      <c r="G900" s="3" t="str">
        <f t="shared" si="72"/>
        <v>Middle Class</v>
      </c>
      <c r="H900">
        <v>5</v>
      </c>
      <c r="I900" t="s">
        <v>15</v>
      </c>
      <c r="J900" t="s">
        <v>31</v>
      </c>
      <c r="K900" t="s">
        <v>17</v>
      </c>
      <c r="L900" t="str">
        <f t="shared" si="73"/>
        <v>Home Owner</v>
      </c>
      <c r="M900">
        <v>3</v>
      </c>
      <c r="N900" t="s">
        <v>33</v>
      </c>
      <c r="O900" t="s">
        <v>35</v>
      </c>
      <c r="P900">
        <v>60</v>
      </c>
      <c r="Q900" t="str">
        <f t="shared" si="74"/>
        <v>55 to 64 yrs</v>
      </c>
      <c r="R900" t="s">
        <v>17</v>
      </c>
    </row>
    <row r="901" spans="1:18">
      <c r="A901">
        <v>28192</v>
      </c>
      <c r="B901" t="s">
        <v>13</v>
      </c>
      <c r="C901" t="str">
        <f t="shared" si="70"/>
        <v>Married</v>
      </c>
      <c r="D901" t="s">
        <v>14</v>
      </c>
      <c r="E901" t="str">
        <f t="shared" si="71"/>
        <v>Female</v>
      </c>
      <c r="F901" s="3">
        <v>70000</v>
      </c>
      <c r="G901" s="3" t="str">
        <f t="shared" si="72"/>
        <v>Middle Class</v>
      </c>
      <c r="H901">
        <v>5</v>
      </c>
      <c r="I901" t="s">
        <v>34</v>
      </c>
      <c r="J901" t="s">
        <v>23</v>
      </c>
      <c r="K901" t="s">
        <v>17</v>
      </c>
      <c r="L901" t="str">
        <f t="shared" si="73"/>
        <v>Home Owner</v>
      </c>
      <c r="M901">
        <v>3</v>
      </c>
      <c r="N901" t="s">
        <v>33</v>
      </c>
      <c r="O901" t="s">
        <v>35</v>
      </c>
      <c r="P901">
        <v>46</v>
      </c>
      <c r="Q901" t="str">
        <f t="shared" si="74"/>
        <v>45 to 54 yrs</v>
      </c>
      <c r="R901" t="s">
        <v>20</v>
      </c>
    </row>
    <row r="902" spans="1:18">
      <c r="A902">
        <v>16122</v>
      </c>
      <c r="B902" t="s">
        <v>13</v>
      </c>
      <c r="C902" t="str">
        <f t="shared" si="70"/>
        <v>Married</v>
      </c>
      <c r="D902" t="s">
        <v>13</v>
      </c>
      <c r="E902" t="str">
        <f t="shared" si="71"/>
        <v>Male</v>
      </c>
      <c r="F902" s="3">
        <v>40000</v>
      </c>
      <c r="G902" s="3" t="str">
        <f t="shared" si="72"/>
        <v>Lower Class</v>
      </c>
      <c r="H902">
        <v>4</v>
      </c>
      <c r="I902" t="s">
        <v>30</v>
      </c>
      <c r="J902" t="s">
        <v>16</v>
      </c>
      <c r="K902" t="s">
        <v>17</v>
      </c>
      <c r="L902" t="str">
        <f t="shared" si="73"/>
        <v>Home Owner</v>
      </c>
      <c r="M902">
        <v>2</v>
      </c>
      <c r="N902" t="s">
        <v>18</v>
      </c>
      <c r="O902" t="s">
        <v>35</v>
      </c>
      <c r="P902">
        <v>44</v>
      </c>
      <c r="Q902" t="str">
        <f t="shared" si="74"/>
        <v>35 to 44 yrs</v>
      </c>
      <c r="R902" t="s">
        <v>17</v>
      </c>
    </row>
    <row r="903" spans="1:18">
      <c r="A903">
        <v>18607</v>
      </c>
      <c r="B903" t="s">
        <v>25</v>
      </c>
      <c r="C903" t="str">
        <f t="shared" si="70"/>
        <v>Single</v>
      </c>
      <c r="D903" t="s">
        <v>14</v>
      </c>
      <c r="E903" t="str">
        <f t="shared" si="71"/>
        <v>Female</v>
      </c>
      <c r="F903" s="3">
        <v>60000</v>
      </c>
      <c r="G903" s="3" t="str">
        <f t="shared" si="72"/>
        <v>Middle Class</v>
      </c>
      <c r="H903">
        <v>4</v>
      </c>
      <c r="I903" t="s">
        <v>15</v>
      </c>
      <c r="J903" t="s">
        <v>16</v>
      </c>
      <c r="K903" t="s">
        <v>17</v>
      </c>
      <c r="L903" t="str">
        <f t="shared" si="73"/>
        <v>Home Owner</v>
      </c>
      <c r="M903">
        <v>2</v>
      </c>
      <c r="N903" t="s">
        <v>24</v>
      </c>
      <c r="O903" t="s">
        <v>35</v>
      </c>
      <c r="P903">
        <v>42</v>
      </c>
      <c r="Q903" t="str">
        <f t="shared" si="74"/>
        <v>35 to 44 yrs</v>
      </c>
      <c r="R903" t="s">
        <v>17</v>
      </c>
    </row>
    <row r="904" spans="1:18">
      <c r="A904">
        <v>28858</v>
      </c>
      <c r="B904" t="s">
        <v>25</v>
      </c>
      <c r="C904" t="str">
        <f t="shared" si="70"/>
        <v>Single</v>
      </c>
      <c r="D904" t="s">
        <v>13</v>
      </c>
      <c r="E904" t="str">
        <f t="shared" si="71"/>
        <v>Male</v>
      </c>
      <c r="F904" s="3">
        <v>80000</v>
      </c>
      <c r="G904" s="3" t="str">
        <f t="shared" si="72"/>
        <v>Middle Class</v>
      </c>
      <c r="H904">
        <v>3</v>
      </c>
      <c r="I904" t="s">
        <v>15</v>
      </c>
      <c r="J904" t="s">
        <v>16</v>
      </c>
      <c r="K904" t="s">
        <v>17</v>
      </c>
      <c r="L904" t="str">
        <f t="shared" si="73"/>
        <v>Home Owner</v>
      </c>
      <c r="M904">
        <v>0</v>
      </c>
      <c r="N904" t="s">
        <v>24</v>
      </c>
      <c r="O904" t="s">
        <v>35</v>
      </c>
      <c r="P904">
        <v>40</v>
      </c>
      <c r="Q904" t="str">
        <f t="shared" si="74"/>
        <v>35 to 44 yrs</v>
      </c>
      <c r="R904" t="s">
        <v>20</v>
      </c>
    </row>
    <row r="905" spans="1:18">
      <c r="A905">
        <v>14432</v>
      </c>
      <c r="B905" t="s">
        <v>25</v>
      </c>
      <c r="C905" t="str">
        <f t="shared" si="70"/>
        <v>Single</v>
      </c>
      <c r="D905" t="s">
        <v>13</v>
      </c>
      <c r="E905" t="str">
        <f t="shared" si="71"/>
        <v>Male</v>
      </c>
      <c r="F905" s="3">
        <v>90000</v>
      </c>
      <c r="G905" s="3" t="str">
        <f t="shared" si="72"/>
        <v>Middle Class</v>
      </c>
      <c r="H905">
        <v>4</v>
      </c>
      <c r="I905" t="s">
        <v>34</v>
      </c>
      <c r="J905" t="s">
        <v>31</v>
      </c>
      <c r="K905" t="s">
        <v>17</v>
      </c>
      <c r="L905" t="str">
        <f t="shared" si="73"/>
        <v>Home Owner</v>
      </c>
      <c r="M905">
        <v>1</v>
      </c>
      <c r="N905" t="s">
        <v>26</v>
      </c>
      <c r="O905" t="s">
        <v>35</v>
      </c>
      <c r="P905">
        <v>73</v>
      </c>
      <c r="Q905" t="str">
        <f t="shared" si="74"/>
        <v>65 yrs &amp; Above</v>
      </c>
      <c r="R905" t="s">
        <v>20</v>
      </c>
    </row>
    <row r="906" spans="1:18">
      <c r="A906">
        <v>26305</v>
      </c>
      <c r="B906" t="s">
        <v>25</v>
      </c>
      <c r="C906" t="str">
        <f t="shared" si="70"/>
        <v>Single</v>
      </c>
      <c r="D906" t="s">
        <v>14</v>
      </c>
      <c r="E906" t="str">
        <f t="shared" si="71"/>
        <v>Female</v>
      </c>
      <c r="F906" s="3">
        <v>60000</v>
      </c>
      <c r="G906" s="3" t="str">
        <f t="shared" si="72"/>
        <v>Middle Class</v>
      </c>
      <c r="H906">
        <v>2</v>
      </c>
      <c r="I906" t="s">
        <v>15</v>
      </c>
      <c r="J906" t="s">
        <v>16</v>
      </c>
      <c r="K906" t="s">
        <v>20</v>
      </c>
      <c r="L906" t="str">
        <f t="shared" si="73"/>
        <v>Tenant</v>
      </c>
      <c r="M906">
        <v>0</v>
      </c>
      <c r="N906" t="s">
        <v>18</v>
      </c>
      <c r="O906" t="s">
        <v>35</v>
      </c>
      <c r="P906">
        <v>36</v>
      </c>
      <c r="Q906" t="str">
        <f t="shared" si="74"/>
        <v>35 to 44 yrs</v>
      </c>
      <c r="R906" t="s">
        <v>17</v>
      </c>
    </row>
    <row r="907" spans="1:18">
      <c r="A907">
        <v>22050</v>
      </c>
      <c r="B907" t="s">
        <v>25</v>
      </c>
      <c r="C907" t="str">
        <f t="shared" si="70"/>
        <v>Single</v>
      </c>
      <c r="D907" t="s">
        <v>13</v>
      </c>
      <c r="E907" t="str">
        <f t="shared" si="71"/>
        <v>Male</v>
      </c>
      <c r="F907" s="3">
        <v>90000</v>
      </c>
      <c r="G907" s="3" t="str">
        <f t="shared" si="72"/>
        <v>Middle Class</v>
      </c>
      <c r="H907">
        <v>4</v>
      </c>
      <c r="I907" t="s">
        <v>15</v>
      </c>
      <c r="J907" t="s">
        <v>31</v>
      </c>
      <c r="K907" t="s">
        <v>17</v>
      </c>
      <c r="L907" t="str">
        <f t="shared" si="73"/>
        <v>Home Owner</v>
      </c>
      <c r="M907">
        <v>1</v>
      </c>
      <c r="N907" t="s">
        <v>29</v>
      </c>
      <c r="O907" t="s">
        <v>35</v>
      </c>
      <c r="P907">
        <v>38</v>
      </c>
      <c r="Q907" t="str">
        <f t="shared" si="74"/>
        <v>35 to 44 yrs</v>
      </c>
      <c r="R907" t="s">
        <v>17</v>
      </c>
    </row>
    <row r="908" spans="1:18">
      <c r="A908">
        <v>25394</v>
      </c>
      <c r="B908" t="s">
        <v>13</v>
      </c>
      <c r="C908" t="str">
        <f t="shared" si="70"/>
        <v>Married</v>
      </c>
      <c r="D908" t="s">
        <v>13</v>
      </c>
      <c r="E908" t="str">
        <f t="shared" si="71"/>
        <v>Male</v>
      </c>
      <c r="F908" s="3">
        <v>60000</v>
      </c>
      <c r="G908" s="3" t="str">
        <f t="shared" si="72"/>
        <v>Middle Class</v>
      </c>
      <c r="H908">
        <v>1</v>
      </c>
      <c r="I908" t="s">
        <v>34</v>
      </c>
      <c r="J908" t="s">
        <v>23</v>
      </c>
      <c r="K908" t="s">
        <v>17</v>
      </c>
      <c r="L908" t="str">
        <f t="shared" si="73"/>
        <v>Home Owner</v>
      </c>
      <c r="M908">
        <v>0</v>
      </c>
      <c r="N908" t="s">
        <v>24</v>
      </c>
      <c r="O908" t="s">
        <v>35</v>
      </c>
      <c r="P908">
        <v>34</v>
      </c>
      <c r="Q908" t="str">
        <f t="shared" si="74"/>
        <v>25 to 34 yrs</v>
      </c>
      <c r="R908" t="s">
        <v>17</v>
      </c>
    </row>
    <row r="909" spans="1:18">
      <c r="A909">
        <v>19747</v>
      </c>
      <c r="B909" t="s">
        <v>13</v>
      </c>
      <c r="C909" t="str">
        <f t="shared" si="70"/>
        <v>Married</v>
      </c>
      <c r="D909" t="s">
        <v>13</v>
      </c>
      <c r="E909" t="str">
        <f t="shared" si="71"/>
        <v>Male</v>
      </c>
      <c r="F909" s="3">
        <v>50000</v>
      </c>
      <c r="G909" s="3" t="str">
        <f t="shared" si="72"/>
        <v>Lower Class</v>
      </c>
      <c r="H909">
        <v>4</v>
      </c>
      <c r="I909" t="s">
        <v>15</v>
      </c>
      <c r="J909" t="s">
        <v>31</v>
      </c>
      <c r="K909" t="s">
        <v>17</v>
      </c>
      <c r="L909" t="str">
        <f t="shared" si="73"/>
        <v>Home Owner</v>
      </c>
      <c r="M909">
        <v>2</v>
      </c>
      <c r="N909" t="s">
        <v>33</v>
      </c>
      <c r="O909" t="s">
        <v>35</v>
      </c>
      <c r="P909">
        <v>63</v>
      </c>
      <c r="Q909" t="str">
        <f t="shared" si="74"/>
        <v>55 to 64 yrs</v>
      </c>
      <c r="R909" t="s">
        <v>20</v>
      </c>
    </row>
    <row r="910" spans="1:18">
      <c r="A910">
        <v>23195</v>
      </c>
      <c r="B910" t="s">
        <v>25</v>
      </c>
      <c r="C910" t="str">
        <f t="shared" si="70"/>
        <v>Single</v>
      </c>
      <c r="D910" t="s">
        <v>13</v>
      </c>
      <c r="E910" t="str">
        <f t="shared" si="71"/>
        <v>Male</v>
      </c>
      <c r="F910" s="3">
        <v>50000</v>
      </c>
      <c r="G910" s="3" t="str">
        <f t="shared" si="72"/>
        <v>Lower Class</v>
      </c>
      <c r="H910">
        <v>3</v>
      </c>
      <c r="I910" t="s">
        <v>15</v>
      </c>
      <c r="J910" t="s">
        <v>16</v>
      </c>
      <c r="K910" t="s">
        <v>17</v>
      </c>
      <c r="L910" t="str">
        <f t="shared" si="73"/>
        <v>Home Owner</v>
      </c>
      <c r="M910">
        <v>2</v>
      </c>
      <c r="N910" t="s">
        <v>24</v>
      </c>
      <c r="O910" t="s">
        <v>35</v>
      </c>
      <c r="P910">
        <v>41</v>
      </c>
      <c r="Q910" t="str">
        <f t="shared" si="74"/>
        <v>35 to 44 yrs</v>
      </c>
      <c r="R910" t="s">
        <v>17</v>
      </c>
    </row>
    <row r="911" spans="1:18">
      <c r="A911">
        <v>21695</v>
      </c>
      <c r="B911" t="s">
        <v>13</v>
      </c>
      <c r="C911" t="str">
        <f t="shared" si="70"/>
        <v>Married</v>
      </c>
      <c r="D911" t="s">
        <v>13</v>
      </c>
      <c r="E911" t="str">
        <f t="shared" si="71"/>
        <v>Male</v>
      </c>
      <c r="F911" s="3">
        <v>60000</v>
      </c>
      <c r="G911" s="3" t="str">
        <f t="shared" si="72"/>
        <v>Middle Class</v>
      </c>
      <c r="H911">
        <v>0</v>
      </c>
      <c r="I911" t="s">
        <v>34</v>
      </c>
      <c r="J911" t="s">
        <v>16</v>
      </c>
      <c r="K911" t="s">
        <v>17</v>
      </c>
      <c r="L911" t="str">
        <f t="shared" si="73"/>
        <v>Home Owner</v>
      </c>
      <c r="M911">
        <v>0</v>
      </c>
      <c r="N911" t="s">
        <v>29</v>
      </c>
      <c r="O911" t="s">
        <v>35</v>
      </c>
      <c r="P911">
        <v>39</v>
      </c>
      <c r="Q911" t="str">
        <f t="shared" si="74"/>
        <v>35 to 44 yrs</v>
      </c>
      <c r="R911" t="s">
        <v>17</v>
      </c>
    </row>
    <row r="912" spans="1:18">
      <c r="A912">
        <v>13934</v>
      </c>
      <c r="B912" t="s">
        <v>13</v>
      </c>
      <c r="C912" t="str">
        <f t="shared" si="70"/>
        <v>Married</v>
      </c>
      <c r="D912" t="s">
        <v>13</v>
      </c>
      <c r="E912" t="str">
        <f t="shared" si="71"/>
        <v>Male</v>
      </c>
      <c r="F912" s="3">
        <v>40000</v>
      </c>
      <c r="G912" s="3" t="str">
        <f t="shared" si="72"/>
        <v>Lower Class</v>
      </c>
      <c r="H912">
        <v>4</v>
      </c>
      <c r="I912" t="s">
        <v>30</v>
      </c>
      <c r="J912" t="s">
        <v>16</v>
      </c>
      <c r="K912" t="s">
        <v>17</v>
      </c>
      <c r="L912" t="str">
        <f t="shared" si="73"/>
        <v>Home Owner</v>
      </c>
      <c r="M912">
        <v>2</v>
      </c>
      <c r="N912" t="s">
        <v>24</v>
      </c>
      <c r="O912" t="s">
        <v>35</v>
      </c>
      <c r="P912">
        <v>46</v>
      </c>
      <c r="Q912" t="str">
        <f t="shared" si="74"/>
        <v>45 to 54 yrs</v>
      </c>
      <c r="R912" t="s">
        <v>20</v>
      </c>
    </row>
    <row r="913" spans="1:18">
      <c r="A913">
        <v>13337</v>
      </c>
      <c r="B913" t="s">
        <v>13</v>
      </c>
      <c r="C913" t="str">
        <f t="shared" si="70"/>
        <v>Married</v>
      </c>
      <c r="D913" t="s">
        <v>14</v>
      </c>
      <c r="E913" t="str">
        <f t="shared" si="71"/>
        <v>Female</v>
      </c>
      <c r="F913" s="3">
        <v>80000</v>
      </c>
      <c r="G913" s="3" t="str">
        <f t="shared" si="72"/>
        <v>Middle Class</v>
      </c>
      <c r="H913">
        <v>5</v>
      </c>
      <c r="I913" t="s">
        <v>15</v>
      </c>
      <c r="J913" t="s">
        <v>31</v>
      </c>
      <c r="K913" t="s">
        <v>17</v>
      </c>
      <c r="L913" t="str">
        <f t="shared" si="73"/>
        <v>Home Owner</v>
      </c>
      <c r="M913">
        <v>2</v>
      </c>
      <c r="N913" t="s">
        <v>26</v>
      </c>
      <c r="O913" t="s">
        <v>35</v>
      </c>
      <c r="P913">
        <v>64</v>
      </c>
      <c r="Q913" t="str">
        <f t="shared" si="74"/>
        <v>55 to 64 yrs</v>
      </c>
      <c r="R913" t="s">
        <v>20</v>
      </c>
    </row>
    <row r="914" spans="1:18">
      <c r="A914">
        <v>27190</v>
      </c>
      <c r="B914" t="s">
        <v>13</v>
      </c>
      <c r="C914" t="str">
        <f t="shared" si="70"/>
        <v>Married</v>
      </c>
      <c r="D914" t="s">
        <v>14</v>
      </c>
      <c r="E914" t="str">
        <f t="shared" si="71"/>
        <v>Female</v>
      </c>
      <c r="F914" s="3">
        <v>40000</v>
      </c>
      <c r="G914" s="3" t="str">
        <f t="shared" si="72"/>
        <v>Lower Class</v>
      </c>
      <c r="H914">
        <v>3</v>
      </c>
      <c r="I914" t="s">
        <v>21</v>
      </c>
      <c r="J914" t="s">
        <v>22</v>
      </c>
      <c r="K914" t="s">
        <v>17</v>
      </c>
      <c r="L914" t="str">
        <f t="shared" si="73"/>
        <v>Home Owner</v>
      </c>
      <c r="M914">
        <v>1</v>
      </c>
      <c r="N914" t="s">
        <v>29</v>
      </c>
      <c r="O914" t="s">
        <v>35</v>
      </c>
      <c r="P914">
        <v>32</v>
      </c>
      <c r="Q914" t="str">
        <f t="shared" si="74"/>
        <v>25 to 34 yrs</v>
      </c>
      <c r="R914" t="s">
        <v>20</v>
      </c>
    </row>
    <row r="915" spans="1:18">
      <c r="A915">
        <v>28657</v>
      </c>
      <c r="B915" t="s">
        <v>25</v>
      </c>
      <c r="C915" t="str">
        <f t="shared" si="70"/>
        <v>Single</v>
      </c>
      <c r="D915" t="s">
        <v>13</v>
      </c>
      <c r="E915" t="str">
        <f t="shared" si="71"/>
        <v>Male</v>
      </c>
      <c r="F915" s="3">
        <v>60000</v>
      </c>
      <c r="G915" s="3" t="str">
        <f t="shared" si="72"/>
        <v>Middle Class</v>
      </c>
      <c r="H915">
        <v>2</v>
      </c>
      <c r="I915" t="s">
        <v>15</v>
      </c>
      <c r="J915" t="s">
        <v>16</v>
      </c>
      <c r="K915" t="s">
        <v>17</v>
      </c>
      <c r="L915" t="str">
        <f t="shared" si="73"/>
        <v>Home Owner</v>
      </c>
      <c r="M915">
        <v>0</v>
      </c>
      <c r="N915" t="s">
        <v>24</v>
      </c>
      <c r="O915" t="s">
        <v>35</v>
      </c>
      <c r="P915">
        <v>36</v>
      </c>
      <c r="Q915" t="str">
        <f t="shared" si="74"/>
        <v>35 to 44 yrs</v>
      </c>
      <c r="R915" t="s">
        <v>17</v>
      </c>
    </row>
    <row r="916" spans="1:18">
      <c r="A916">
        <v>21713</v>
      </c>
      <c r="B916" t="s">
        <v>25</v>
      </c>
      <c r="C916" t="str">
        <f t="shared" si="70"/>
        <v>Single</v>
      </c>
      <c r="D916" t="s">
        <v>13</v>
      </c>
      <c r="E916" t="str">
        <f t="shared" si="71"/>
        <v>Male</v>
      </c>
      <c r="F916" s="3">
        <v>80000</v>
      </c>
      <c r="G916" s="3" t="str">
        <f t="shared" si="72"/>
        <v>Middle Class</v>
      </c>
      <c r="H916">
        <v>5</v>
      </c>
      <c r="I916" t="s">
        <v>34</v>
      </c>
      <c r="J916" t="s">
        <v>16</v>
      </c>
      <c r="K916" t="s">
        <v>20</v>
      </c>
      <c r="L916" t="str">
        <f t="shared" si="73"/>
        <v>Tenant</v>
      </c>
      <c r="M916">
        <v>0</v>
      </c>
      <c r="N916" t="s">
        <v>18</v>
      </c>
      <c r="O916" t="s">
        <v>35</v>
      </c>
      <c r="P916">
        <v>47</v>
      </c>
      <c r="Q916" t="str">
        <f t="shared" si="74"/>
        <v>45 to 54 yrs</v>
      </c>
      <c r="R916" t="s">
        <v>20</v>
      </c>
    </row>
    <row r="917" spans="1:18">
      <c r="A917">
        <v>21752</v>
      </c>
      <c r="B917" t="s">
        <v>13</v>
      </c>
      <c r="C917" t="str">
        <f t="shared" si="70"/>
        <v>Married</v>
      </c>
      <c r="D917" t="s">
        <v>13</v>
      </c>
      <c r="E917" t="str">
        <f t="shared" si="71"/>
        <v>Male</v>
      </c>
      <c r="F917" s="3">
        <v>60000</v>
      </c>
      <c r="G917" s="3" t="str">
        <f t="shared" si="72"/>
        <v>Middle Class</v>
      </c>
      <c r="H917">
        <v>3</v>
      </c>
      <c r="I917" t="s">
        <v>34</v>
      </c>
      <c r="J917" t="s">
        <v>31</v>
      </c>
      <c r="K917" t="s">
        <v>17</v>
      </c>
      <c r="L917" t="str">
        <f t="shared" si="73"/>
        <v>Home Owner</v>
      </c>
      <c r="M917">
        <v>2</v>
      </c>
      <c r="N917" t="s">
        <v>33</v>
      </c>
      <c r="O917" t="s">
        <v>35</v>
      </c>
      <c r="P917">
        <v>64</v>
      </c>
      <c r="Q917" t="str">
        <f t="shared" si="74"/>
        <v>55 to 64 yrs</v>
      </c>
      <c r="R917" t="s">
        <v>20</v>
      </c>
    </row>
    <row r="918" spans="1:18">
      <c r="A918">
        <v>27273</v>
      </c>
      <c r="B918" t="s">
        <v>25</v>
      </c>
      <c r="C918" t="str">
        <f t="shared" si="70"/>
        <v>Single</v>
      </c>
      <c r="D918" t="s">
        <v>13</v>
      </c>
      <c r="E918" t="str">
        <f t="shared" si="71"/>
        <v>Male</v>
      </c>
      <c r="F918" s="3">
        <v>70000</v>
      </c>
      <c r="G918" s="3" t="str">
        <f t="shared" si="72"/>
        <v>Middle Class</v>
      </c>
      <c r="H918">
        <v>3</v>
      </c>
      <c r="I918" t="s">
        <v>34</v>
      </c>
      <c r="J918" t="s">
        <v>23</v>
      </c>
      <c r="K918" t="s">
        <v>20</v>
      </c>
      <c r="L918" t="str">
        <f t="shared" si="73"/>
        <v>Tenant</v>
      </c>
      <c r="M918">
        <v>0</v>
      </c>
      <c r="N918" t="s">
        <v>18</v>
      </c>
      <c r="O918" t="s">
        <v>35</v>
      </c>
      <c r="P918">
        <v>35</v>
      </c>
      <c r="Q918" t="str">
        <f t="shared" si="74"/>
        <v>35 to 44 yrs</v>
      </c>
      <c r="R918" t="s">
        <v>17</v>
      </c>
    </row>
    <row r="919" spans="1:18">
      <c r="A919">
        <v>22719</v>
      </c>
      <c r="B919" t="s">
        <v>25</v>
      </c>
      <c r="C919" t="str">
        <f t="shared" si="70"/>
        <v>Single</v>
      </c>
      <c r="D919" t="s">
        <v>13</v>
      </c>
      <c r="E919" t="str">
        <f t="shared" si="71"/>
        <v>Male</v>
      </c>
      <c r="F919" s="3">
        <v>110000</v>
      </c>
      <c r="G919" s="3" t="str">
        <f t="shared" si="72"/>
        <v>Middle Class</v>
      </c>
      <c r="H919">
        <v>3</v>
      </c>
      <c r="I919" t="s">
        <v>15</v>
      </c>
      <c r="J919" t="s">
        <v>31</v>
      </c>
      <c r="K919" t="s">
        <v>17</v>
      </c>
      <c r="L919" t="str">
        <f t="shared" si="73"/>
        <v>Home Owner</v>
      </c>
      <c r="M919">
        <v>4</v>
      </c>
      <c r="N919" t="s">
        <v>24</v>
      </c>
      <c r="O919" t="s">
        <v>35</v>
      </c>
      <c r="P919">
        <v>40</v>
      </c>
      <c r="Q919" t="str">
        <f t="shared" si="74"/>
        <v>35 to 44 yrs</v>
      </c>
      <c r="R919" t="s">
        <v>17</v>
      </c>
    </row>
    <row r="920" spans="1:18">
      <c r="A920">
        <v>22042</v>
      </c>
      <c r="B920" t="s">
        <v>13</v>
      </c>
      <c r="C920" t="str">
        <f t="shared" si="70"/>
        <v>Married</v>
      </c>
      <c r="D920" t="s">
        <v>14</v>
      </c>
      <c r="E920" t="str">
        <f t="shared" si="71"/>
        <v>Female</v>
      </c>
      <c r="F920" s="3">
        <v>70000</v>
      </c>
      <c r="G920" s="3" t="str">
        <f t="shared" si="72"/>
        <v>Middle Class</v>
      </c>
      <c r="H920">
        <v>0</v>
      </c>
      <c r="I920" t="s">
        <v>21</v>
      </c>
      <c r="J920" t="s">
        <v>16</v>
      </c>
      <c r="K920" t="s">
        <v>17</v>
      </c>
      <c r="L920" t="str">
        <f t="shared" si="73"/>
        <v>Home Owner</v>
      </c>
      <c r="M920">
        <v>2</v>
      </c>
      <c r="N920" t="s">
        <v>26</v>
      </c>
      <c r="O920" t="s">
        <v>35</v>
      </c>
      <c r="P920">
        <v>34</v>
      </c>
      <c r="Q920" t="str">
        <f t="shared" si="74"/>
        <v>25 to 34 yrs</v>
      </c>
      <c r="R920" t="s">
        <v>17</v>
      </c>
    </row>
    <row r="921" spans="1:18">
      <c r="A921">
        <v>21451</v>
      </c>
      <c r="B921" t="s">
        <v>13</v>
      </c>
      <c r="C921" t="str">
        <f t="shared" si="70"/>
        <v>Married</v>
      </c>
      <c r="D921" t="s">
        <v>14</v>
      </c>
      <c r="E921" t="str">
        <f t="shared" si="71"/>
        <v>Female</v>
      </c>
      <c r="F921" s="3">
        <v>40000</v>
      </c>
      <c r="G921" s="3" t="str">
        <f t="shared" si="72"/>
        <v>Lower Class</v>
      </c>
      <c r="H921">
        <v>4</v>
      </c>
      <c r="I921" t="s">
        <v>30</v>
      </c>
      <c r="J921" t="s">
        <v>23</v>
      </c>
      <c r="K921" t="s">
        <v>17</v>
      </c>
      <c r="L921" t="str">
        <f t="shared" si="73"/>
        <v>Home Owner</v>
      </c>
      <c r="M921">
        <v>2</v>
      </c>
      <c r="N921" t="s">
        <v>33</v>
      </c>
      <c r="O921" t="s">
        <v>35</v>
      </c>
      <c r="P921">
        <v>61</v>
      </c>
      <c r="Q921" t="str">
        <f t="shared" si="74"/>
        <v>55 to 64 yrs</v>
      </c>
      <c r="R921" t="s">
        <v>20</v>
      </c>
    </row>
    <row r="922" spans="1:18">
      <c r="A922">
        <v>20754</v>
      </c>
      <c r="B922" t="s">
        <v>13</v>
      </c>
      <c r="C922" t="str">
        <f t="shared" si="70"/>
        <v>Married</v>
      </c>
      <c r="D922" t="s">
        <v>13</v>
      </c>
      <c r="E922" t="str">
        <f t="shared" si="71"/>
        <v>Male</v>
      </c>
      <c r="F922" s="3">
        <v>30000</v>
      </c>
      <c r="G922" s="3" t="str">
        <f t="shared" si="72"/>
        <v>Lower Class</v>
      </c>
      <c r="H922">
        <v>2</v>
      </c>
      <c r="I922" t="s">
        <v>30</v>
      </c>
      <c r="J922" t="s">
        <v>16</v>
      </c>
      <c r="K922" t="s">
        <v>17</v>
      </c>
      <c r="L922" t="str">
        <f t="shared" si="73"/>
        <v>Home Owner</v>
      </c>
      <c r="M922">
        <v>2</v>
      </c>
      <c r="N922" t="s">
        <v>29</v>
      </c>
      <c r="O922" t="s">
        <v>35</v>
      </c>
      <c r="P922">
        <v>51</v>
      </c>
      <c r="Q922" t="str">
        <f t="shared" si="74"/>
        <v>45 to 54 yrs</v>
      </c>
      <c r="R922" t="s">
        <v>20</v>
      </c>
    </row>
    <row r="923" spans="1:18">
      <c r="A923">
        <v>12153</v>
      </c>
      <c r="B923" t="s">
        <v>25</v>
      </c>
      <c r="C923" t="str">
        <f t="shared" si="70"/>
        <v>Single</v>
      </c>
      <c r="D923" t="s">
        <v>14</v>
      </c>
      <c r="E923" t="str">
        <f t="shared" si="71"/>
        <v>Female</v>
      </c>
      <c r="F923" s="3">
        <v>70000</v>
      </c>
      <c r="G923" s="3" t="str">
        <f t="shared" si="72"/>
        <v>Middle Class</v>
      </c>
      <c r="H923">
        <v>3</v>
      </c>
      <c r="I923" t="s">
        <v>21</v>
      </c>
      <c r="J923" t="s">
        <v>23</v>
      </c>
      <c r="K923" t="s">
        <v>17</v>
      </c>
      <c r="L923" t="str">
        <f t="shared" si="73"/>
        <v>Home Owner</v>
      </c>
      <c r="M923">
        <v>1</v>
      </c>
      <c r="N923" t="s">
        <v>26</v>
      </c>
      <c r="O923" t="s">
        <v>35</v>
      </c>
      <c r="P923">
        <v>49</v>
      </c>
      <c r="Q923" t="str">
        <f t="shared" si="74"/>
        <v>45 to 54 yrs</v>
      </c>
      <c r="R923" t="s">
        <v>17</v>
      </c>
    </row>
    <row r="924" spans="1:18">
      <c r="A924">
        <v>16895</v>
      </c>
      <c r="B924" t="s">
        <v>13</v>
      </c>
      <c r="C924" t="str">
        <f t="shared" si="70"/>
        <v>Married</v>
      </c>
      <c r="D924" t="s">
        <v>14</v>
      </c>
      <c r="E924" t="str">
        <f t="shared" si="71"/>
        <v>Female</v>
      </c>
      <c r="F924" s="3">
        <v>40000</v>
      </c>
      <c r="G924" s="3" t="str">
        <f t="shared" si="72"/>
        <v>Lower Class</v>
      </c>
      <c r="H924">
        <v>3</v>
      </c>
      <c r="I924" t="s">
        <v>21</v>
      </c>
      <c r="J924" t="s">
        <v>23</v>
      </c>
      <c r="K924" t="s">
        <v>20</v>
      </c>
      <c r="L924" t="str">
        <f t="shared" si="73"/>
        <v>Tenant</v>
      </c>
      <c r="M924">
        <v>2</v>
      </c>
      <c r="N924" t="s">
        <v>29</v>
      </c>
      <c r="O924" t="s">
        <v>35</v>
      </c>
      <c r="P924">
        <v>54</v>
      </c>
      <c r="Q924" t="str">
        <f t="shared" si="74"/>
        <v>45 to 54 yrs</v>
      </c>
      <c r="R924" t="s">
        <v>17</v>
      </c>
    </row>
    <row r="925" spans="1:18">
      <c r="A925">
        <v>26728</v>
      </c>
      <c r="B925" t="s">
        <v>25</v>
      </c>
      <c r="C925" t="str">
        <f t="shared" si="70"/>
        <v>Single</v>
      </c>
      <c r="D925" t="s">
        <v>13</v>
      </c>
      <c r="E925" t="str">
        <f t="shared" si="71"/>
        <v>Male</v>
      </c>
      <c r="F925" s="3">
        <v>70000</v>
      </c>
      <c r="G925" s="3" t="str">
        <f t="shared" si="72"/>
        <v>Middle Class</v>
      </c>
      <c r="H925">
        <v>3</v>
      </c>
      <c r="I925" t="s">
        <v>34</v>
      </c>
      <c r="J925" t="s">
        <v>31</v>
      </c>
      <c r="K925" t="s">
        <v>20</v>
      </c>
      <c r="L925" t="str">
        <f t="shared" si="73"/>
        <v>Tenant</v>
      </c>
      <c r="M925">
        <v>2</v>
      </c>
      <c r="N925" t="s">
        <v>29</v>
      </c>
      <c r="O925" t="s">
        <v>35</v>
      </c>
      <c r="P925">
        <v>53</v>
      </c>
      <c r="Q925" t="str">
        <f t="shared" si="74"/>
        <v>45 to 54 yrs</v>
      </c>
      <c r="R925" t="s">
        <v>17</v>
      </c>
    </row>
    <row r="926" spans="1:18">
      <c r="A926">
        <v>11090</v>
      </c>
      <c r="B926" t="s">
        <v>25</v>
      </c>
      <c r="C926" t="str">
        <f t="shared" si="70"/>
        <v>Single</v>
      </c>
      <c r="D926" t="s">
        <v>13</v>
      </c>
      <c r="E926" t="str">
        <f t="shared" si="71"/>
        <v>Male</v>
      </c>
      <c r="F926" s="3">
        <v>90000</v>
      </c>
      <c r="G926" s="3" t="str">
        <f t="shared" si="72"/>
        <v>Middle Class</v>
      </c>
      <c r="H926">
        <v>2</v>
      </c>
      <c r="I926" t="s">
        <v>21</v>
      </c>
      <c r="J926" t="s">
        <v>23</v>
      </c>
      <c r="K926" t="s">
        <v>17</v>
      </c>
      <c r="L926" t="str">
        <f t="shared" si="73"/>
        <v>Home Owner</v>
      </c>
      <c r="M926">
        <v>1</v>
      </c>
      <c r="N926" t="s">
        <v>24</v>
      </c>
      <c r="O926" t="s">
        <v>35</v>
      </c>
      <c r="P926">
        <v>48</v>
      </c>
      <c r="Q926" t="str">
        <f t="shared" si="74"/>
        <v>45 to 54 yrs</v>
      </c>
      <c r="R926" t="s">
        <v>17</v>
      </c>
    </row>
    <row r="927" spans="1:18">
      <c r="A927">
        <v>15862</v>
      </c>
      <c r="B927" t="s">
        <v>25</v>
      </c>
      <c r="C927" t="str">
        <f t="shared" si="70"/>
        <v>Single</v>
      </c>
      <c r="D927" t="s">
        <v>14</v>
      </c>
      <c r="E927" t="str">
        <f t="shared" si="71"/>
        <v>Female</v>
      </c>
      <c r="F927" s="3">
        <v>50000</v>
      </c>
      <c r="G927" s="3" t="str">
        <f t="shared" si="72"/>
        <v>Lower Class</v>
      </c>
      <c r="H927">
        <v>0</v>
      </c>
      <c r="I927" t="s">
        <v>34</v>
      </c>
      <c r="J927" t="s">
        <v>16</v>
      </c>
      <c r="K927" t="s">
        <v>17</v>
      </c>
      <c r="L927" t="str">
        <f t="shared" si="73"/>
        <v>Home Owner</v>
      </c>
      <c r="M927">
        <v>0</v>
      </c>
      <c r="N927" t="s">
        <v>29</v>
      </c>
      <c r="O927" t="s">
        <v>35</v>
      </c>
      <c r="P927">
        <v>33</v>
      </c>
      <c r="Q927" t="str">
        <f t="shared" si="74"/>
        <v>25 to 34 yrs</v>
      </c>
      <c r="R927" t="s">
        <v>17</v>
      </c>
    </row>
    <row r="928" spans="1:18">
      <c r="A928">
        <v>26495</v>
      </c>
      <c r="B928" t="s">
        <v>25</v>
      </c>
      <c r="C928" t="str">
        <f t="shared" si="70"/>
        <v>Single</v>
      </c>
      <c r="D928" t="s">
        <v>14</v>
      </c>
      <c r="E928" t="str">
        <f t="shared" si="71"/>
        <v>Female</v>
      </c>
      <c r="F928" s="3">
        <v>40000</v>
      </c>
      <c r="G928" s="3" t="str">
        <f t="shared" si="72"/>
        <v>Lower Class</v>
      </c>
      <c r="H928">
        <v>2</v>
      </c>
      <c r="I928" t="s">
        <v>30</v>
      </c>
      <c r="J928" t="s">
        <v>23</v>
      </c>
      <c r="K928" t="s">
        <v>17</v>
      </c>
      <c r="L928" t="str">
        <f t="shared" si="73"/>
        <v>Home Owner</v>
      </c>
      <c r="M928">
        <v>2</v>
      </c>
      <c r="N928" t="s">
        <v>33</v>
      </c>
      <c r="O928" t="s">
        <v>35</v>
      </c>
      <c r="P928">
        <v>57</v>
      </c>
      <c r="Q928" t="str">
        <f t="shared" si="74"/>
        <v>55 to 64 yrs</v>
      </c>
      <c r="R928" t="s">
        <v>20</v>
      </c>
    </row>
    <row r="929" spans="1:18">
      <c r="A929">
        <v>11823</v>
      </c>
      <c r="B929" t="s">
        <v>13</v>
      </c>
      <c r="C929" t="str">
        <f t="shared" si="70"/>
        <v>Married</v>
      </c>
      <c r="D929" t="s">
        <v>14</v>
      </c>
      <c r="E929" t="str">
        <f t="shared" si="71"/>
        <v>Female</v>
      </c>
      <c r="F929" s="3">
        <v>70000</v>
      </c>
      <c r="G929" s="3" t="str">
        <f t="shared" si="72"/>
        <v>Middle Class</v>
      </c>
      <c r="H929">
        <v>0</v>
      </c>
      <c r="I929" t="s">
        <v>34</v>
      </c>
      <c r="J929" t="s">
        <v>23</v>
      </c>
      <c r="K929" t="s">
        <v>17</v>
      </c>
      <c r="L929" t="str">
        <f t="shared" si="73"/>
        <v>Home Owner</v>
      </c>
      <c r="M929">
        <v>0</v>
      </c>
      <c r="N929" t="s">
        <v>24</v>
      </c>
      <c r="O929" t="s">
        <v>35</v>
      </c>
      <c r="P929">
        <v>39</v>
      </c>
      <c r="Q929" t="str">
        <f t="shared" si="74"/>
        <v>35 to 44 yrs</v>
      </c>
      <c r="R929" t="s">
        <v>20</v>
      </c>
    </row>
    <row r="930" spans="1:18">
      <c r="A930">
        <v>23449</v>
      </c>
      <c r="B930" t="s">
        <v>13</v>
      </c>
      <c r="C930" t="str">
        <f t="shared" si="70"/>
        <v>Married</v>
      </c>
      <c r="D930" t="s">
        <v>13</v>
      </c>
      <c r="E930" t="str">
        <f t="shared" si="71"/>
        <v>Male</v>
      </c>
      <c r="F930" s="3">
        <v>60000</v>
      </c>
      <c r="G930" s="3" t="str">
        <f t="shared" si="72"/>
        <v>Middle Class</v>
      </c>
      <c r="H930">
        <v>2</v>
      </c>
      <c r="I930" t="s">
        <v>30</v>
      </c>
      <c r="J930" t="s">
        <v>23</v>
      </c>
      <c r="K930" t="s">
        <v>17</v>
      </c>
      <c r="L930" t="str">
        <f t="shared" si="73"/>
        <v>Home Owner</v>
      </c>
      <c r="M930">
        <v>2</v>
      </c>
      <c r="N930" t="s">
        <v>26</v>
      </c>
      <c r="O930" t="s">
        <v>35</v>
      </c>
      <c r="P930">
        <v>48</v>
      </c>
      <c r="Q930" t="str">
        <f t="shared" si="74"/>
        <v>45 to 54 yrs</v>
      </c>
      <c r="R930" t="s">
        <v>20</v>
      </c>
    </row>
    <row r="931" spans="1:18">
      <c r="A931">
        <v>23459</v>
      </c>
      <c r="B931" t="s">
        <v>13</v>
      </c>
      <c r="C931" t="str">
        <f t="shared" si="70"/>
        <v>Married</v>
      </c>
      <c r="D931" t="s">
        <v>13</v>
      </c>
      <c r="E931" t="str">
        <f t="shared" si="71"/>
        <v>Male</v>
      </c>
      <c r="F931" s="3">
        <v>60000</v>
      </c>
      <c r="G931" s="3" t="str">
        <f t="shared" si="72"/>
        <v>Middle Class</v>
      </c>
      <c r="H931">
        <v>2</v>
      </c>
      <c r="I931" t="s">
        <v>30</v>
      </c>
      <c r="J931" t="s">
        <v>23</v>
      </c>
      <c r="K931" t="s">
        <v>17</v>
      </c>
      <c r="L931" t="str">
        <f t="shared" si="73"/>
        <v>Home Owner</v>
      </c>
      <c r="M931">
        <v>2</v>
      </c>
      <c r="N931" t="s">
        <v>26</v>
      </c>
      <c r="O931" t="s">
        <v>35</v>
      </c>
      <c r="P931">
        <v>50</v>
      </c>
      <c r="Q931" t="str">
        <f t="shared" si="74"/>
        <v>45 to 54 yrs</v>
      </c>
      <c r="R931" t="s">
        <v>20</v>
      </c>
    </row>
    <row r="932" spans="1:18">
      <c r="A932">
        <v>19543</v>
      </c>
      <c r="B932" t="s">
        <v>13</v>
      </c>
      <c r="C932" t="str">
        <f t="shared" si="70"/>
        <v>Married</v>
      </c>
      <c r="D932" t="s">
        <v>13</v>
      </c>
      <c r="E932" t="str">
        <f t="shared" si="71"/>
        <v>Male</v>
      </c>
      <c r="F932" s="3">
        <v>70000</v>
      </c>
      <c r="G932" s="3" t="str">
        <f t="shared" si="72"/>
        <v>Middle Class</v>
      </c>
      <c r="H932">
        <v>5</v>
      </c>
      <c r="I932" t="s">
        <v>34</v>
      </c>
      <c r="J932" t="s">
        <v>23</v>
      </c>
      <c r="K932" t="s">
        <v>20</v>
      </c>
      <c r="L932" t="str">
        <f t="shared" si="73"/>
        <v>Tenant</v>
      </c>
      <c r="M932">
        <v>3</v>
      </c>
      <c r="N932" t="s">
        <v>33</v>
      </c>
      <c r="O932" t="s">
        <v>35</v>
      </c>
      <c r="P932">
        <v>47</v>
      </c>
      <c r="Q932" t="str">
        <f t="shared" si="74"/>
        <v>45 to 54 yrs</v>
      </c>
      <c r="R932" t="s">
        <v>20</v>
      </c>
    </row>
    <row r="933" spans="1:18">
      <c r="A933">
        <v>14914</v>
      </c>
      <c r="B933" t="s">
        <v>13</v>
      </c>
      <c r="C933" t="str">
        <f t="shared" si="70"/>
        <v>Married</v>
      </c>
      <c r="D933" t="s">
        <v>14</v>
      </c>
      <c r="E933" t="str">
        <f t="shared" si="71"/>
        <v>Female</v>
      </c>
      <c r="F933" s="3">
        <v>40000</v>
      </c>
      <c r="G933" s="3" t="str">
        <f t="shared" si="72"/>
        <v>Lower Class</v>
      </c>
      <c r="H933">
        <v>1</v>
      </c>
      <c r="I933" t="s">
        <v>21</v>
      </c>
      <c r="J933" t="s">
        <v>22</v>
      </c>
      <c r="K933" t="s">
        <v>17</v>
      </c>
      <c r="L933" t="str">
        <f t="shared" si="73"/>
        <v>Home Owner</v>
      </c>
      <c r="M933">
        <v>1</v>
      </c>
      <c r="N933" t="s">
        <v>29</v>
      </c>
      <c r="O933" t="s">
        <v>35</v>
      </c>
      <c r="P933">
        <v>49</v>
      </c>
      <c r="Q933" t="str">
        <f t="shared" si="74"/>
        <v>45 to 54 yrs</v>
      </c>
      <c r="R933" t="s">
        <v>17</v>
      </c>
    </row>
    <row r="934" spans="1:18">
      <c r="A934">
        <v>12033</v>
      </c>
      <c r="B934" t="s">
        <v>25</v>
      </c>
      <c r="C934" t="str">
        <f t="shared" si="70"/>
        <v>Single</v>
      </c>
      <c r="D934" t="s">
        <v>14</v>
      </c>
      <c r="E934" t="str">
        <f t="shared" si="71"/>
        <v>Female</v>
      </c>
      <c r="F934" s="3">
        <v>40000</v>
      </c>
      <c r="G934" s="3" t="str">
        <f t="shared" si="72"/>
        <v>Lower Class</v>
      </c>
      <c r="H934">
        <v>0</v>
      </c>
      <c r="I934" t="s">
        <v>30</v>
      </c>
      <c r="J934" t="s">
        <v>16</v>
      </c>
      <c r="K934" t="s">
        <v>20</v>
      </c>
      <c r="L934" t="str">
        <f t="shared" si="73"/>
        <v>Tenant</v>
      </c>
      <c r="M934">
        <v>2</v>
      </c>
      <c r="N934" t="s">
        <v>18</v>
      </c>
      <c r="O934" t="s">
        <v>35</v>
      </c>
      <c r="P934">
        <v>27</v>
      </c>
      <c r="Q934" t="str">
        <f t="shared" si="74"/>
        <v>25 to 34 yrs</v>
      </c>
      <c r="R934" t="s">
        <v>17</v>
      </c>
    </row>
    <row r="935" spans="1:18">
      <c r="A935">
        <v>11941</v>
      </c>
      <c r="B935" t="s">
        <v>25</v>
      </c>
      <c r="C935" t="str">
        <f t="shared" si="70"/>
        <v>Single</v>
      </c>
      <c r="D935" t="s">
        <v>13</v>
      </c>
      <c r="E935" t="str">
        <f t="shared" si="71"/>
        <v>Male</v>
      </c>
      <c r="F935" s="3">
        <v>60000</v>
      </c>
      <c r="G935" s="3" t="str">
        <f t="shared" si="72"/>
        <v>Middle Class</v>
      </c>
      <c r="H935">
        <v>0</v>
      </c>
      <c r="I935" t="s">
        <v>21</v>
      </c>
      <c r="J935" t="s">
        <v>16</v>
      </c>
      <c r="K935" t="s">
        <v>17</v>
      </c>
      <c r="L935" t="str">
        <f t="shared" si="73"/>
        <v>Home Owner</v>
      </c>
      <c r="M935">
        <v>0</v>
      </c>
      <c r="N935" t="s">
        <v>26</v>
      </c>
      <c r="O935" t="s">
        <v>35</v>
      </c>
      <c r="P935">
        <v>29</v>
      </c>
      <c r="Q935" t="str">
        <f t="shared" si="74"/>
        <v>25 to 34 yrs</v>
      </c>
      <c r="R935" t="s">
        <v>20</v>
      </c>
    </row>
    <row r="936" spans="1:18">
      <c r="A936">
        <v>14389</v>
      </c>
      <c r="B936" t="s">
        <v>13</v>
      </c>
      <c r="C936" t="str">
        <f t="shared" si="70"/>
        <v>Married</v>
      </c>
      <c r="D936" t="s">
        <v>13</v>
      </c>
      <c r="E936" t="str">
        <f t="shared" si="71"/>
        <v>Male</v>
      </c>
      <c r="F936" s="3">
        <v>60000</v>
      </c>
      <c r="G936" s="3" t="str">
        <f t="shared" si="72"/>
        <v>Middle Class</v>
      </c>
      <c r="H936">
        <v>2</v>
      </c>
      <c r="I936" t="s">
        <v>15</v>
      </c>
      <c r="J936" t="s">
        <v>31</v>
      </c>
      <c r="K936" t="s">
        <v>17</v>
      </c>
      <c r="L936" t="str">
        <f t="shared" si="73"/>
        <v>Home Owner</v>
      </c>
      <c r="M936">
        <v>0</v>
      </c>
      <c r="N936" t="s">
        <v>24</v>
      </c>
      <c r="O936" t="s">
        <v>35</v>
      </c>
      <c r="P936">
        <v>59</v>
      </c>
      <c r="Q936" t="str">
        <f t="shared" si="74"/>
        <v>55 to 64 yrs</v>
      </c>
      <c r="R936" t="s">
        <v>20</v>
      </c>
    </row>
    <row r="937" spans="1:18">
      <c r="A937">
        <v>18050</v>
      </c>
      <c r="B937" t="s">
        <v>13</v>
      </c>
      <c r="C937" t="str">
        <f t="shared" si="70"/>
        <v>Married</v>
      </c>
      <c r="D937" t="s">
        <v>14</v>
      </c>
      <c r="E937" t="str">
        <f t="shared" si="71"/>
        <v>Female</v>
      </c>
      <c r="F937" s="3">
        <v>60000</v>
      </c>
      <c r="G937" s="3" t="str">
        <f t="shared" si="72"/>
        <v>Middle Class</v>
      </c>
      <c r="H937">
        <v>1</v>
      </c>
      <c r="I937" t="s">
        <v>21</v>
      </c>
      <c r="J937" t="s">
        <v>16</v>
      </c>
      <c r="K937" t="s">
        <v>17</v>
      </c>
      <c r="L937" t="str">
        <f t="shared" si="73"/>
        <v>Home Owner</v>
      </c>
      <c r="M937">
        <v>1</v>
      </c>
      <c r="N937" t="s">
        <v>18</v>
      </c>
      <c r="O937" t="s">
        <v>35</v>
      </c>
      <c r="P937">
        <v>45</v>
      </c>
      <c r="Q937" t="str">
        <f t="shared" si="74"/>
        <v>45 to 54 yrs</v>
      </c>
      <c r="R937" t="s">
        <v>17</v>
      </c>
    </row>
    <row r="938" spans="1:18">
      <c r="A938">
        <v>19856</v>
      </c>
      <c r="B938" t="s">
        <v>13</v>
      </c>
      <c r="C938" t="str">
        <f t="shared" si="70"/>
        <v>Married</v>
      </c>
      <c r="D938" t="s">
        <v>14</v>
      </c>
      <c r="E938" t="str">
        <f t="shared" si="71"/>
        <v>Female</v>
      </c>
      <c r="F938" s="3">
        <v>60000</v>
      </c>
      <c r="G938" s="3" t="str">
        <f t="shared" si="72"/>
        <v>Middle Class</v>
      </c>
      <c r="H938">
        <v>4</v>
      </c>
      <c r="I938" t="s">
        <v>15</v>
      </c>
      <c r="J938" t="s">
        <v>31</v>
      </c>
      <c r="K938" t="s">
        <v>17</v>
      </c>
      <c r="L938" t="str">
        <f t="shared" si="73"/>
        <v>Home Owner</v>
      </c>
      <c r="M938">
        <v>2</v>
      </c>
      <c r="N938" t="s">
        <v>24</v>
      </c>
      <c r="O938" t="s">
        <v>35</v>
      </c>
      <c r="P938">
        <v>60</v>
      </c>
      <c r="Q938" t="str">
        <f t="shared" si="74"/>
        <v>55 to 64 yrs</v>
      </c>
      <c r="R938" t="s">
        <v>20</v>
      </c>
    </row>
    <row r="939" spans="1:18">
      <c r="A939">
        <v>11663</v>
      </c>
      <c r="B939" t="s">
        <v>13</v>
      </c>
      <c r="C939" t="str">
        <f t="shared" si="70"/>
        <v>Married</v>
      </c>
      <c r="D939" t="s">
        <v>13</v>
      </c>
      <c r="E939" t="str">
        <f t="shared" si="71"/>
        <v>Male</v>
      </c>
      <c r="F939" s="3">
        <v>70000</v>
      </c>
      <c r="G939" s="3" t="str">
        <f t="shared" si="72"/>
        <v>Middle Class</v>
      </c>
      <c r="H939">
        <v>4</v>
      </c>
      <c r="I939" t="s">
        <v>34</v>
      </c>
      <c r="J939" t="s">
        <v>23</v>
      </c>
      <c r="K939" t="s">
        <v>17</v>
      </c>
      <c r="L939" t="str">
        <f t="shared" si="73"/>
        <v>Home Owner</v>
      </c>
      <c r="M939">
        <v>0</v>
      </c>
      <c r="N939" t="s">
        <v>18</v>
      </c>
      <c r="O939" t="s">
        <v>35</v>
      </c>
      <c r="P939">
        <v>36</v>
      </c>
      <c r="Q939" t="str">
        <f t="shared" si="74"/>
        <v>35 to 44 yrs</v>
      </c>
      <c r="R939" t="s">
        <v>17</v>
      </c>
    </row>
    <row r="940" spans="1:18">
      <c r="A940">
        <v>27740</v>
      </c>
      <c r="B940" t="s">
        <v>13</v>
      </c>
      <c r="C940" t="str">
        <f t="shared" si="70"/>
        <v>Married</v>
      </c>
      <c r="D940" t="s">
        <v>14</v>
      </c>
      <c r="E940" t="str">
        <f t="shared" si="71"/>
        <v>Female</v>
      </c>
      <c r="F940" s="3">
        <v>40000</v>
      </c>
      <c r="G940" s="3" t="str">
        <f t="shared" si="72"/>
        <v>Lower Class</v>
      </c>
      <c r="H940">
        <v>0</v>
      </c>
      <c r="I940" t="s">
        <v>30</v>
      </c>
      <c r="J940" t="s">
        <v>16</v>
      </c>
      <c r="K940" t="s">
        <v>17</v>
      </c>
      <c r="L940" t="str">
        <f t="shared" si="73"/>
        <v>Home Owner</v>
      </c>
      <c r="M940">
        <v>2</v>
      </c>
      <c r="N940" t="s">
        <v>26</v>
      </c>
      <c r="O940" t="s">
        <v>35</v>
      </c>
      <c r="P940">
        <v>27</v>
      </c>
      <c r="Q940" t="str">
        <f t="shared" si="74"/>
        <v>25 to 34 yrs</v>
      </c>
      <c r="R940" t="s">
        <v>20</v>
      </c>
    </row>
    <row r="941" spans="1:18">
      <c r="A941">
        <v>23455</v>
      </c>
      <c r="B941" t="s">
        <v>25</v>
      </c>
      <c r="C941" t="str">
        <f t="shared" si="70"/>
        <v>Single</v>
      </c>
      <c r="D941" t="s">
        <v>13</v>
      </c>
      <c r="E941" t="str">
        <f t="shared" si="71"/>
        <v>Male</v>
      </c>
      <c r="F941" s="3">
        <v>80000</v>
      </c>
      <c r="G941" s="3" t="str">
        <f t="shared" si="72"/>
        <v>Middle Class</v>
      </c>
      <c r="H941">
        <v>2</v>
      </c>
      <c r="I941" t="s">
        <v>32</v>
      </c>
      <c r="J941" t="s">
        <v>16</v>
      </c>
      <c r="K941" t="s">
        <v>20</v>
      </c>
      <c r="L941" t="str">
        <f t="shared" si="73"/>
        <v>Tenant</v>
      </c>
      <c r="M941">
        <v>2</v>
      </c>
      <c r="N941" t="s">
        <v>29</v>
      </c>
      <c r="O941" t="s">
        <v>35</v>
      </c>
      <c r="P941">
        <v>50</v>
      </c>
      <c r="Q941" t="str">
        <f t="shared" si="74"/>
        <v>45 to 54 yrs</v>
      </c>
      <c r="R941" t="s">
        <v>20</v>
      </c>
    </row>
    <row r="942" spans="1:18">
      <c r="A942">
        <v>15292</v>
      </c>
      <c r="B942" t="s">
        <v>25</v>
      </c>
      <c r="C942" t="str">
        <f t="shared" si="70"/>
        <v>Single</v>
      </c>
      <c r="D942" t="s">
        <v>14</v>
      </c>
      <c r="E942" t="str">
        <f t="shared" si="71"/>
        <v>Female</v>
      </c>
      <c r="F942" s="3">
        <v>60000</v>
      </c>
      <c r="G942" s="3" t="str">
        <f t="shared" si="72"/>
        <v>Middle Class</v>
      </c>
      <c r="H942">
        <v>1</v>
      </c>
      <c r="I942" t="s">
        <v>34</v>
      </c>
      <c r="J942" t="s">
        <v>16</v>
      </c>
      <c r="K942" t="s">
        <v>17</v>
      </c>
      <c r="L942" t="str">
        <f t="shared" si="73"/>
        <v>Home Owner</v>
      </c>
      <c r="M942">
        <v>0</v>
      </c>
      <c r="N942" t="s">
        <v>29</v>
      </c>
      <c r="O942" t="s">
        <v>35</v>
      </c>
      <c r="P942">
        <v>35</v>
      </c>
      <c r="Q942" t="str">
        <f t="shared" si="74"/>
        <v>35 to 44 yrs</v>
      </c>
      <c r="R942" t="s">
        <v>20</v>
      </c>
    </row>
    <row r="943" spans="1:18">
      <c r="A943">
        <v>21587</v>
      </c>
      <c r="B943" t="s">
        <v>13</v>
      </c>
      <c r="C943" t="str">
        <f t="shared" si="70"/>
        <v>Married</v>
      </c>
      <c r="D943" t="s">
        <v>14</v>
      </c>
      <c r="E943" t="str">
        <f t="shared" si="71"/>
        <v>Female</v>
      </c>
      <c r="F943" s="3">
        <v>60000</v>
      </c>
      <c r="G943" s="3" t="str">
        <f t="shared" si="72"/>
        <v>Middle Class</v>
      </c>
      <c r="H943">
        <v>1</v>
      </c>
      <c r="I943" t="s">
        <v>34</v>
      </c>
      <c r="J943" t="s">
        <v>16</v>
      </c>
      <c r="K943" t="s">
        <v>17</v>
      </c>
      <c r="L943" t="str">
        <f t="shared" si="73"/>
        <v>Home Owner</v>
      </c>
      <c r="M943">
        <v>0</v>
      </c>
      <c r="N943" t="s">
        <v>24</v>
      </c>
      <c r="O943" t="s">
        <v>35</v>
      </c>
      <c r="P943">
        <v>34</v>
      </c>
      <c r="Q943" t="str">
        <f t="shared" si="74"/>
        <v>25 to 34 yrs</v>
      </c>
      <c r="R943" t="s">
        <v>17</v>
      </c>
    </row>
    <row r="944" spans="1:18">
      <c r="A944">
        <v>23513</v>
      </c>
      <c r="B944" t="s">
        <v>13</v>
      </c>
      <c r="C944" t="str">
        <f t="shared" si="70"/>
        <v>Married</v>
      </c>
      <c r="D944" t="s">
        <v>14</v>
      </c>
      <c r="E944" t="str">
        <f t="shared" si="71"/>
        <v>Female</v>
      </c>
      <c r="F944" s="3">
        <v>40000</v>
      </c>
      <c r="G944" s="3" t="str">
        <f t="shared" si="72"/>
        <v>Lower Class</v>
      </c>
      <c r="H944">
        <v>3</v>
      </c>
      <c r="I944" t="s">
        <v>21</v>
      </c>
      <c r="J944" t="s">
        <v>23</v>
      </c>
      <c r="K944" t="s">
        <v>17</v>
      </c>
      <c r="L944" t="str">
        <f t="shared" si="73"/>
        <v>Home Owner</v>
      </c>
      <c r="M944">
        <v>2</v>
      </c>
      <c r="N944" t="s">
        <v>26</v>
      </c>
      <c r="O944" t="s">
        <v>35</v>
      </c>
      <c r="P944">
        <v>54</v>
      </c>
      <c r="Q944" t="str">
        <f t="shared" si="74"/>
        <v>45 to 54 yrs</v>
      </c>
      <c r="R944" t="s">
        <v>20</v>
      </c>
    </row>
    <row r="945" spans="1:18">
      <c r="A945">
        <v>24322</v>
      </c>
      <c r="B945" t="s">
        <v>13</v>
      </c>
      <c r="C945" t="str">
        <f t="shared" si="70"/>
        <v>Married</v>
      </c>
      <c r="D945" t="s">
        <v>14</v>
      </c>
      <c r="E945" t="str">
        <f t="shared" si="71"/>
        <v>Female</v>
      </c>
      <c r="F945" s="3">
        <v>60000</v>
      </c>
      <c r="G945" s="3" t="str">
        <f t="shared" si="72"/>
        <v>Middle Class</v>
      </c>
      <c r="H945">
        <v>4</v>
      </c>
      <c r="I945" t="s">
        <v>15</v>
      </c>
      <c r="J945" t="s">
        <v>16</v>
      </c>
      <c r="K945" t="s">
        <v>20</v>
      </c>
      <c r="L945" t="str">
        <f t="shared" si="73"/>
        <v>Tenant</v>
      </c>
      <c r="M945">
        <v>2</v>
      </c>
      <c r="N945" t="s">
        <v>18</v>
      </c>
      <c r="O945" t="s">
        <v>35</v>
      </c>
      <c r="P945">
        <v>42</v>
      </c>
      <c r="Q945" t="str">
        <f t="shared" si="74"/>
        <v>35 to 44 yrs</v>
      </c>
      <c r="R945" t="s">
        <v>20</v>
      </c>
    </row>
    <row r="946" spans="1:18">
      <c r="A946">
        <v>26298</v>
      </c>
      <c r="B946" t="s">
        <v>13</v>
      </c>
      <c r="C946" t="str">
        <f t="shared" si="70"/>
        <v>Married</v>
      </c>
      <c r="D946" t="s">
        <v>14</v>
      </c>
      <c r="E946" t="str">
        <f t="shared" si="71"/>
        <v>Female</v>
      </c>
      <c r="F946" s="3">
        <v>50000</v>
      </c>
      <c r="G946" s="3" t="str">
        <f t="shared" si="72"/>
        <v>Lower Class</v>
      </c>
      <c r="H946">
        <v>1</v>
      </c>
      <c r="I946" t="s">
        <v>15</v>
      </c>
      <c r="J946" t="s">
        <v>16</v>
      </c>
      <c r="K946" t="s">
        <v>17</v>
      </c>
      <c r="L946" t="str">
        <f t="shared" si="73"/>
        <v>Home Owner</v>
      </c>
      <c r="M946">
        <v>0</v>
      </c>
      <c r="N946" t="s">
        <v>24</v>
      </c>
      <c r="O946" t="s">
        <v>35</v>
      </c>
      <c r="P946">
        <v>34</v>
      </c>
      <c r="Q946" t="str">
        <f t="shared" si="74"/>
        <v>25 to 34 yrs</v>
      </c>
      <c r="R946" t="s">
        <v>17</v>
      </c>
    </row>
    <row r="947" spans="1:18">
      <c r="A947">
        <v>25419</v>
      </c>
      <c r="B947" t="s">
        <v>25</v>
      </c>
      <c r="C947" t="str">
        <f t="shared" si="70"/>
        <v>Single</v>
      </c>
      <c r="D947" t="s">
        <v>13</v>
      </c>
      <c r="E947" t="str">
        <f t="shared" si="71"/>
        <v>Male</v>
      </c>
      <c r="F947" s="3">
        <v>50000</v>
      </c>
      <c r="G947" s="3" t="str">
        <f t="shared" si="72"/>
        <v>Lower Class</v>
      </c>
      <c r="H947">
        <v>2</v>
      </c>
      <c r="I947" t="s">
        <v>15</v>
      </c>
      <c r="J947" t="s">
        <v>16</v>
      </c>
      <c r="K947" t="s">
        <v>20</v>
      </c>
      <c r="L947" t="str">
        <f t="shared" si="73"/>
        <v>Tenant</v>
      </c>
      <c r="M947">
        <v>1</v>
      </c>
      <c r="N947" t="s">
        <v>18</v>
      </c>
      <c r="O947" t="s">
        <v>35</v>
      </c>
      <c r="P947">
        <v>38</v>
      </c>
      <c r="Q947" t="str">
        <f t="shared" si="74"/>
        <v>35 to 44 yrs</v>
      </c>
      <c r="R947" t="s">
        <v>17</v>
      </c>
    </row>
    <row r="948" spans="1:18">
      <c r="A948">
        <v>13343</v>
      </c>
      <c r="B948" t="s">
        <v>13</v>
      </c>
      <c r="C948" t="str">
        <f t="shared" si="70"/>
        <v>Married</v>
      </c>
      <c r="D948" t="s">
        <v>14</v>
      </c>
      <c r="E948" t="str">
        <f t="shared" si="71"/>
        <v>Female</v>
      </c>
      <c r="F948" s="3">
        <v>90000</v>
      </c>
      <c r="G948" s="3" t="str">
        <f t="shared" si="72"/>
        <v>Middle Class</v>
      </c>
      <c r="H948">
        <v>5</v>
      </c>
      <c r="I948" t="s">
        <v>15</v>
      </c>
      <c r="J948" t="s">
        <v>31</v>
      </c>
      <c r="K948" t="s">
        <v>17</v>
      </c>
      <c r="L948" t="str">
        <f t="shared" si="73"/>
        <v>Home Owner</v>
      </c>
      <c r="M948">
        <v>2</v>
      </c>
      <c r="N948" t="s">
        <v>29</v>
      </c>
      <c r="O948" t="s">
        <v>35</v>
      </c>
      <c r="P948">
        <v>63</v>
      </c>
      <c r="Q948" t="str">
        <f t="shared" si="74"/>
        <v>55 to 64 yrs</v>
      </c>
      <c r="R948" t="s">
        <v>17</v>
      </c>
    </row>
    <row r="949" spans="1:18">
      <c r="A949">
        <v>11303</v>
      </c>
      <c r="B949" t="s">
        <v>25</v>
      </c>
      <c r="C949" t="str">
        <f t="shared" si="70"/>
        <v>Single</v>
      </c>
      <c r="D949" t="s">
        <v>14</v>
      </c>
      <c r="E949" t="str">
        <f t="shared" si="71"/>
        <v>Female</v>
      </c>
      <c r="F949" s="3">
        <v>90000</v>
      </c>
      <c r="G949" s="3" t="str">
        <f t="shared" si="72"/>
        <v>Middle Class</v>
      </c>
      <c r="H949">
        <v>4</v>
      </c>
      <c r="I949" t="s">
        <v>30</v>
      </c>
      <c r="J949" t="s">
        <v>23</v>
      </c>
      <c r="K949" t="s">
        <v>20</v>
      </c>
      <c r="L949" t="str">
        <f t="shared" si="73"/>
        <v>Tenant</v>
      </c>
      <c r="M949">
        <v>3</v>
      </c>
      <c r="N949" t="s">
        <v>29</v>
      </c>
      <c r="O949" t="s">
        <v>35</v>
      </c>
      <c r="P949">
        <v>45</v>
      </c>
      <c r="Q949" t="str">
        <f t="shared" si="74"/>
        <v>45 to 54 yrs</v>
      </c>
      <c r="R949" t="s">
        <v>17</v>
      </c>
    </row>
    <row r="950" spans="1:18">
      <c r="A950">
        <v>21693</v>
      </c>
      <c r="B950" t="s">
        <v>25</v>
      </c>
      <c r="C950" t="str">
        <f t="shared" si="70"/>
        <v>Single</v>
      </c>
      <c r="D950" t="s">
        <v>14</v>
      </c>
      <c r="E950" t="str">
        <f t="shared" si="71"/>
        <v>Female</v>
      </c>
      <c r="F950" s="3">
        <v>60000</v>
      </c>
      <c r="G950" s="3" t="str">
        <f t="shared" si="72"/>
        <v>Middle Class</v>
      </c>
      <c r="H950">
        <v>0</v>
      </c>
      <c r="I950" t="s">
        <v>34</v>
      </c>
      <c r="J950" t="s">
        <v>16</v>
      </c>
      <c r="K950" t="s">
        <v>20</v>
      </c>
      <c r="L950" t="str">
        <f t="shared" si="73"/>
        <v>Tenant</v>
      </c>
      <c r="M950">
        <v>0</v>
      </c>
      <c r="N950" t="s">
        <v>18</v>
      </c>
      <c r="O950" t="s">
        <v>35</v>
      </c>
      <c r="P950">
        <v>40</v>
      </c>
      <c r="Q950" t="str">
        <f t="shared" si="74"/>
        <v>35 to 44 yrs</v>
      </c>
      <c r="R950" t="s">
        <v>20</v>
      </c>
    </row>
    <row r="951" spans="1:18">
      <c r="A951">
        <v>28056</v>
      </c>
      <c r="B951" t="s">
        <v>13</v>
      </c>
      <c r="C951" t="str">
        <f t="shared" si="70"/>
        <v>Married</v>
      </c>
      <c r="D951" t="s">
        <v>13</v>
      </c>
      <c r="E951" t="str">
        <f t="shared" si="71"/>
        <v>Male</v>
      </c>
      <c r="F951" s="3">
        <v>70000</v>
      </c>
      <c r="G951" s="3" t="str">
        <f t="shared" si="72"/>
        <v>Middle Class</v>
      </c>
      <c r="H951">
        <v>2</v>
      </c>
      <c r="I951" t="s">
        <v>32</v>
      </c>
      <c r="J951" t="s">
        <v>16</v>
      </c>
      <c r="K951" t="s">
        <v>17</v>
      </c>
      <c r="L951" t="str">
        <f t="shared" si="73"/>
        <v>Home Owner</v>
      </c>
      <c r="M951">
        <v>2</v>
      </c>
      <c r="N951" t="s">
        <v>33</v>
      </c>
      <c r="O951" t="s">
        <v>35</v>
      </c>
      <c r="P951">
        <v>53</v>
      </c>
      <c r="Q951" t="str">
        <f t="shared" si="74"/>
        <v>45 to 54 yrs</v>
      </c>
      <c r="R951" t="s">
        <v>20</v>
      </c>
    </row>
    <row r="952" spans="1:18">
      <c r="A952">
        <v>11788</v>
      </c>
      <c r="B952" t="s">
        <v>25</v>
      </c>
      <c r="C952" t="str">
        <f t="shared" si="70"/>
        <v>Single</v>
      </c>
      <c r="D952" t="s">
        <v>14</v>
      </c>
      <c r="E952" t="str">
        <f t="shared" si="71"/>
        <v>Female</v>
      </c>
      <c r="F952" s="3">
        <v>70000</v>
      </c>
      <c r="G952" s="3" t="str">
        <f t="shared" si="72"/>
        <v>Middle Class</v>
      </c>
      <c r="H952">
        <v>1</v>
      </c>
      <c r="I952" t="s">
        <v>34</v>
      </c>
      <c r="J952" t="s">
        <v>23</v>
      </c>
      <c r="K952" t="s">
        <v>17</v>
      </c>
      <c r="L952" t="str">
        <f t="shared" si="73"/>
        <v>Home Owner</v>
      </c>
      <c r="M952">
        <v>0</v>
      </c>
      <c r="N952" t="s">
        <v>24</v>
      </c>
      <c r="O952" t="s">
        <v>35</v>
      </c>
      <c r="P952">
        <v>34</v>
      </c>
      <c r="Q952" t="str">
        <f t="shared" si="74"/>
        <v>25 to 34 yrs</v>
      </c>
      <c r="R952" t="s">
        <v>20</v>
      </c>
    </row>
    <row r="953" spans="1:18">
      <c r="A953">
        <v>22296</v>
      </c>
      <c r="B953" t="s">
        <v>13</v>
      </c>
      <c r="C953" t="str">
        <f t="shared" si="70"/>
        <v>Married</v>
      </c>
      <c r="D953" t="s">
        <v>13</v>
      </c>
      <c r="E953" t="str">
        <f t="shared" si="71"/>
        <v>Male</v>
      </c>
      <c r="F953" s="3">
        <v>70000</v>
      </c>
      <c r="G953" s="3" t="str">
        <f t="shared" si="72"/>
        <v>Middle Class</v>
      </c>
      <c r="H953">
        <v>0</v>
      </c>
      <c r="I953" t="s">
        <v>15</v>
      </c>
      <c r="J953" t="s">
        <v>23</v>
      </c>
      <c r="K953" t="s">
        <v>20</v>
      </c>
      <c r="L953" t="str">
        <f t="shared" si="73"/>
        <v>Tenant</v>
      </c>
      <c r="M953">
        <v>1</v>
      </c>
      <c r="N953" t="s">
        <v>18</v>
      </c>
      <c r="O953" t="s">
        <v>35</v>
      </c>
      <c r="P953">
        <v>38</v>
      </c>
      <c r="Q953" t="str">
        <f t="shared" si="74"/>
        <v>35 to 44 yrs</v>
      </c>
      <c r="R953" t="s">
        <v>20</v>
      </c>
    </row>
    <row r="954" spans="1:18">
      <c r="A954">
        <v>15319</v>
      </c>
      <c r="B954" t="s">
        <v>13</v>
      </c>
      <c r="C954" t="str">
        <f t="shared" si="70"/>
        <v>Married</v>
      </c>
      <c r="D954" t="s">
        <v>14</v>
      </c>
      <c r="E954" t="str">
        <f t="shared" si="71"/>
        <v>Female</v>
      </c>
      <c r="F954" s="3">
        <v>70000</v>
      </c>
      <c r="G954" s="3" t="str">
        <f t="shared" si="72"/>
        <v>Middle Class</v>
      </c>
      <c r="H954">
        <v>4</v>
      </c>
      <c r="I954" t="s">
        <v>15</v>
      </c>
      <c r="J954" t="s">
        <v>31</v>
      </c>
      <c r="K954" t="s">
        <v>20</v>
      </c>
      <c r="L954" t="str">
        <f t="shared" si="73"/>
        <v>Tenant</v>
      </c>
      <c r="M954">
        <v>1</v>
      </c>
      <c r="N954" t="s">
        <v>29</v>
      </c>
      <c r="O954" t="s">
        <v>35</v>
      </c>
      <c r="P954">
        <v>59</v>
      </c>
      <c r="Q954" t="str">
        <f t="shared" si="74"/>
        <v>55 to 64 yrs</v>
      </c>
      <c r="R954" t="s">
        <v>20</v>
      </c>
    </row>
    <row r="955" spans="1:18">
      <c r="A955">
        <v>17654</v>
      </c>
      <c r="B955" t="s">
        <v>25</v>
      </c>
      <c r="C955" t="str">
        <f t="shared" si="70"/>
        <v>Single</v>
      </c>
      <c r="D955" t="s">
        <v>14</v>
      </c>
      <c r="E955" t="str">
        <f t="shared" si="71"/>
        <v>Female</v>
      </c>
      <c r="F955" s="3">
        <v>40000</v>
      </c>
      <c r="G955" s="3" t="str">
        <f t="shared" si="72"/>
        <v>Lower Class</v>
      </c>
      <c r="H955">
        <v>3</v>
      </c>
      <c r="I955" t="s">
        <v>21</v>
      </c>
      <c r="J955" t="s">
        <v>22</v>
      </c>
      <c r="K955" t="s">
        <v>17</v>
      </c>
      <c r="L955" t="str">
        <f t="shared" si="73"/>
        <v>Home Owner</v>
      </c>
      <c r="M955">
        <v>1</v>
      </c>
      <c r="N955" t="s">
        <v>29</v>
      </c>
      <c r="O955" t="s">
        <v>35</v>
      </c>
      <c r="P955">
        <v>30</v>
      </c>
      <c r="Q955" t="str">
        <f t="shared" si="74"/>
        <v>25 to 34 yrs</v>
      </c>
      <c r="R955" t="s">
        <v>17</v>
      </c>
    </row>
    <row r="956" spans="1:18">
      <c r="A956">
        <v>14662</v>
      </c>
      <c r="B956" t="s">
        <v>13</v>
      </c>
      <c r="C956" t="str">
        <f t="shared" si="70"/>
        <v>Married</v>
      </c>
      <c r="D956" t="s">
        <v>13</v>
      </c>
      <c r="E956" t="str">
        <f t="shared" si="71"/>
        <v>Male</v>
      </c>
      <c r="F956" s="3">
        <v>60000</v>
      </c>
      <c r="G956" s="3" t="str">
        <f t="shared" si="72"/>
        <v>Middle Class</v>
      </c>
      <c r="H956">
        <v>1</v>
      </c>
      <c r="I956" t="s">
        <v>15</v>
      </c>
      <c r="J956" t="s">
        <v>23</v>
      </c>
      <c r="K956" t="s">
        <v>17</v>
      </c>
      <c r="L956" t="str">
        <f t="shared" si="73"/>
        <v>Home Owner</v>
      </c>
      <c r="M956">
        <v>1</v>
      </c>
      <c r="N956" t="s">
        <v>18</v>
      </c>
      <c r="O956" t="s">
        <v>35</v>
      </c>
      <c r="P956">
        <v>48</v>
      </c>
      <c r="Q956" t="str">
        <f t="shared" si="74"/>
        <v>45 to 54 yrs</v>
      </c>
      <c r="R956" t="s">
        <v>17</v>
      </c>
    </row>
    <row r="957" spans="1:18">
      <c r="A957">
        <v>17541</v>
      </c>
      <c r="B957" t="s">
        <v>13</v>
      </c>
      <c r="C957" t="str">
        <f t="shared" si="70"/>
        <v>Married</v>
      </c>
      <c r="D957" t="s">
        <v>14</v>
      </c>
      <c r="E957" t="str">
        <f t="shared" si="71"/>
        <v>Female</v>
      </c>
      <c r="F957" s="3">
        <v>40000</v>
      </c>
      <c r="G957" s="3" t="str">
        <f t="shared" si="72"/>
        <v>Lower Class</v>
      </c>
      <c r="H957">
        <v>4</v>
      </c>
      <c r="I957" t="s">
        <v>30</v>
      </c>
      <c r="J957" t="s">
        <v>16</v>
      </c>
      <c r="K957" t="s">
        <v>17</v>
      </c>
      <c r="L957" t="str">
        <f t="shared" si="73"/>
        <v>Home Owner</v>
      </c>
      <c r="M957">
        <v>2</v>
      </c>
      <c r="N957" t="s">
        <v>24</v>
      </c>
      <c r="O957" t="s">
        <v>35</v>
      </c>
      <c r="P957">
        <v>43</v>
      </c>
      <c r="Q957" t="str">
        <f t="shared" si="74"/>
        <v>35 to 44 yrs</v>
      </c>
      <c r="R957" t="s">
        <v>20</v>
      </c>
    </row>
    <row r="958" spans="1:18">
      <c r="A958">
        <v>13886</v>
      </c>
      <c r="B958" t="s">
        <v>13</v>
      </c>
      <c r="C958" t="str">
        <f t="shared" si="70"/>
        <v>Married</v>
      </c>
      <c r="D958" t="s">
        <v>14</v>
      </c>
      <c r="E958" t="str">
        <f t="shared" si="71"/>
        <v>Female</v>
      </c>
      <c r="F958" s="3">
        <v>70000</v>
      </c>
      <c r="G958" s="3" t="str">
        <f t="shared" si="72"/>
        <v>Middle Class</v>
      </c>
      <c r="H958">
        <v>4</v>
      </c>
      <c r="I958" t="s">
        <v>34</v>
      </c>
      <c r="J958" t="s">
        <v>23</v>
      </c>
      <c r="K958" t="s">
        <v>17</v>
      </c>
      <c r="L958" t="str">
        <f t="shared" si="73"/>
        <v>Home Owner</v>
      </c>
      <c r="M958">
        <v>0</v>
      </c>
      <c r="N958" t="s">
        <v>24</v>
      </c>
      <c r="O958" t="s">
        <v>35</v>
      </c>
      <c r="P958">
        <v>35</v>
      </c>
      <c r="Q958" t="str">
        <f t="shared" si="74"/>
        <v>35 to 44 yrs</v>
      </c>
      <c r="R958" t="s">
        <v>17</v>
      </c>
    </row>
    <row r="959" spans="1:18">
      <c r="A959">
        <v>13073</v>
      </c>
      <c r="B959" t="s">
        <v>13</v>
      </c>
      <c r="C959" t="str">
        <f t="shared" si="70"/>
        <v>Married</v>
      </c>
      <c r="D959" t="s">
        <v>14</v>
      </c>
      <c r="E959" t="str">
        <f t="shared" si="71"/>
        <v>Female</v>
      </c>
      <c r="F959" s="3">
        <v>60000</v>
      </c>
      <c r="G959" s="3" t="str">
        <f t="shared" si="72"/>
        <v>Middle Class</v>
      </c>
      <c r="H959">
        <v>0</v>
      </c>
      <c r="I959" t="s">
        <v>21</v>
      </c>
      <c r="J959" t="s">
        <v>23</v>
      </c>
      <c r="K959" t="s">
        <v>17</v>
      </c>
      <c r="L959" t="str">
        <f t="shared" si="73"/>
        <v>Home Owner</v>
      </c>
      <c r="M959">
        <v>2</v>
      </c>
      <c r="N959" t="s">
        <v>26</v>
      </c>
      <c r="O959" t="s">
        <v>35</v>
      </c>
      <c r="P959">
        <v>30</v>
      </c>
      <c r="Q959" t="str">
        <f t="shared" si="74"/>
        <v>25 to 34 yrs</v>
      </c>
      <c r="R959" t="s">
        <v>20</v>
      </c>
    </row>
    <row r="960" spans="1:18">
      <c r="A960">
        <v>21940</v>
      </c>
      <c r="B960" t="s">
        <v>13</v>
      </c>
      <c r="C960" t="str">
        <f t="shared" si="70"/>
        <v>Married</v>
      </c>
      <c r="D960" t="s">
        <v>13</v>
      </c>
      <c r="E960" t="str">
        <f t="shared" si="71"/>
        <v>Male</v>
      </c>
      <c r="F960" s="3">
        <v>90000</v>
      </c>
      <c r="G960" s="3" t="str">
        <f t="shared" si="72"/>
        <v>Middle Class</v>
      </c>
      <c r="H960">
        <v>5</v>
      </c>
      <c r="I960" t="s">
        <v>34</v>
      </c>
      <c r="J960" t="s">
        <v>23</v>
      </c>
      <c r="K960" t="s">
        <v>17</v>
      </c>
      <c r="L960" t="str">
        <f t="shared" si="73"/>
        <v>Home Owner</v>
      </c>
      <c r="M960">
        <v>0</v>
      </c>
      <c r="N960" t="s">
        <v>18</v>
      </c>
      <c r="O960" t="s">
        <v>35</v>
      </c>
      <c r="P960">
        <v>47</v>
      </c>
      <c r="Q960" t="str">
        <f t="shared" si="74"/>
        <v>45 to 54 yrs</v>
      </c>
      <c r="R960" t="s">
        <v>17</v>
      </c>
    </row>
    <row r="961" spans="1:18">
      <c r="A961">
        <v>20196</v>
      </c>
      <c r="B961" t="s">
        <v>13</v>
      </c>
      <c r="C961" t="str">
        <f t="shared" si="70"/>
        <v>Married</v>
      </c>
      <c r="D961" t="s">
        <v>13</v>
      </c>
      <c r="E961" t="str">
        <f t="shared" si="71"/>
        <v>Male</v>
      </c>
      <c r="F961" s="3">
        <v>60000</v>
      </c>
      <c r="G961" s="3" t="str">
        <f t="shared" si="72"/>
        <v>Middle Class</v>
      </c>
      <c r="H961">
        <v>1</v>
      </c>
      <c r="I961" t="s">
        <v>21</v>
      </c>
      <c r="J961" t="s">
        <v>16</v>
      </c>
      <c r="K961" t="s">
        <v>17</v>
      </c>
      <c r="L961" t="str">
        <f t="shared" si="73"/>
        <v>Home Owner</v>
      </c>
      <c r="M961">
        <v>1</v>
      </c>
      <c r="N961" t="s">
        <v>24</v>
      </c>
      <c r="O961" t="s">
        <v>35</v>
      </c>
      <c r="P961">
        <v>45</v>
      </c>
      <c r="Q961" t="str">
        <f t="shared" si="74"/>
        <v>45 to 54 yrs</v>
      </c>
      <c r="R961" t="s">
        <v>17</v>
      </c>
    </row>
    <row r="962" spans="1:18">
      <c r="A962">
        <v>23491</v>
      </c>
      <c r="B962" t="s">
        <v>25</v>
      </c>
      <c r="C962" t="str">
        <f t="shared" si="70"/>
        <v>Single</v>
      </c>
      <c r="D962" t="s">
        <v>13</v>
      </c>
      <c r="E962" t="str">
        <f t="shared" si="71"/>
        <v>Male</v>
      </c>
      <c r="F962" s="3">
        <v>100000</v>
      </c>
      <c r="G962" s="3" t="str">
        <f t="shared" si="72"/>
        <v>Middle Class</v>
      </c>
      <c r="H962">
        <v>0</v>
      </c>
      <c r="I962" t="s">
        <v>21</v>
      </c>
      <c r="J962" t="s">
        <v>23</v>
      </c>
      <c r="K962" t="s">
        <v>20</v>
      </c>
      <c r="L962" t="str">
        <f t="shared" si="73"/>
        <v>Tenant</v>
      </c>
      <c r="M962">
        <v>4</v>
      </c>
      <c r="N962" t="s">
        <v>29</v>
      </c>
      <c r="O962" t="s">
        <v>35</v>
      </c>
      <c r="P962">
        <v>45</v>
      </c>
      <c r="Q962" t="str">
        <f t="shared" si="74"/>
        <v>45 to 54 yrs</v>
      </c>
      <c r="R962" t="s">
        <v>20</v>
      </c>
    </row>
    <row r="963" spans="1:18">
      <c r="A963">
        <v>16651</v>
      </c>
      <c r="B963" t="s">
        <v>13</v>
      </c>
      <c r="C963" t="str">
        <f t="shared" ref="C963:C1001" si="75">IF($B$2:$B$1001="M", "Married","Single")</f>
        <v>Married</v>
      </c>
      <c r="D963" t="s">
        <v>14</v>
      </c>
      <c r="E963" t="str">
        <f t="shared" ref="E963:E1001" si="76">IF($D$2:$D$1001="F", "Female", "Male")</f>
        <v>Female</v>
      </c>
      <c r="F963" s="3">
        <v>120000</v>
      </c>
      <c r="G963" s="3" t="str">
        <f t="shared" ref="G963:G1001" si="77">_xlfn.IFS(F963&lt;=57375,"Lower Class",F963&lt;=114750,"Middle Class",F963&lt;=253414,"Upper Middle Class",TRUE,"Upper Class")</f>
        <v>Upper Middle Class</v>
      </c>
      <c r="H963">
        <v>2</v>
      </c>
      <c r="I963" t="s">
        <v>15</v>
      </c>
      <c r="J963" t="s">
        <v>31</v>
      </c>
      <c r="K963" t="s">
        <v>17</v>
      </c>
      <c r="L963" t="str">
        <f t="shared" ref="L963:L1001" si="78">IF($K$2:$K$1001="Yes", "Home Owner","Tenant")</f>
        <v>Home Owner</v>
      </c>
      <c r="M963">
        <v>3</v>
      </c>
      <c r="N963" t="s">
        <v>26</v>
      </c>
      <c r="O963" t="s">
        <v>35</v>
      </c>
      <c r="P963">
        <v>62</v>
      </c>
      <c r="Q963" t="str">
        <f t="shared" ref="Q963:Q1001" si="79">_xlfn.IFS(P963&lt;25,"Less than 25 yrs",P963&lt;35,"25 to 34 yrs",P963&lt;45,"35 to 44 yrs",P963&lt;55,"45 to 54 yrs",P963&lt;65,"55 to 64 yrs", TRUE, "65 yrs &amp; Above")</f>
        <v>55 to 64 yrs</v>
      </c>
      <c r="R963" t="s">
        <v>20</v>
      </c>
    </row>
    <row r="964" spans="1:18">
      <c r="A964">
        <v>16813</v>
      </c>
      <c r="B964" t="s">
        <v>13</v>
      </c>
      <c r="C964" t="str">
        <f t="shared" si="75"/>
        <v>Married</v>
      </c>
      <c r="D964" t="s">
        <v>13</v>
      </c>
      <c r="E964" t="str">
        <f t="shared" si="76"/>
        <v>Male</v>
      </c>
      <c r="F964" s="3">
        <v>60000</v>
      </c>
      <c r="G964" s="3" t="str">
        <f t="shared" si="77"/>
        <v>Middle Class</v>
      </c>
      <c r="H964">
        <v>2</v>
      </c>
      <c r="I964" t="s">
        <v>21</v>
      </c>
      <c r="J964" t="s">
        <v>23</v>
      </c>
      <c r="K964" t="s">
        <v>17</v>
      </c>
      <c r="L964" t="str">
        <f t="shared" si="78"/>
        <v>Home Owner</v>
      </c>
      <c r="M964">
        <v>2</v>
      </c>
      <c r="N964" t="s">
        <v>33</v>
      </c>
      <c r="O964" t="s">
        <v>35</v>
      </c>
      <c r="P964">
        <v>55</v>
      </c>
      <c r="Q964" t="str">
        <f t="shared" si="79"/>
        <v>55 to 64 yrs</v>
      </c>
      <c r="R964" t="s">
        <v>20</v>
      </c>
    </row>
    <row r="965" spans="1:18">
      <c r="A965">
        <v>16007</v>
      </c>
      <c r="B965" t="s">
        <v>13</v>
      </c>
      <c r="C965" t="str">
        <f t="shared" si="75"/>
        <v>Married</v>
      </c>
      <c r="D965" t="s">
        <v>14</v>
      </c>
      <c r="E965" t="str">
        <f t="shared" si="76"/>
        <v>Female</v>
      </c>
      <c r="F965" s="3">
        <v>90000</v>
      </c>
      <c r="G965" s="3" t="str">
        <f t="shared" si="77"/>
        <v>Middle Class</v>
      </c>
      <c r="H965">
        <v>5</v>
      </c>
      <c r="I965" t="s">
        <v>15</v>
      </c>
      <c r="J965" t="s">
        <v>31</v>
      </c>
      <c r="K965" t="s">
        <v>17</v>
      </c>
      <c r="L965" t="str">
        <f t="shared" si="78"/>
        <v>Home Owner</v>
      </c>
      <c r="M965">
        <v>2</v>
      </c>
      <c r="N965" t="s">
        <v>29</v>
      </c>
      <c r="O965" t="s">
        <v>35</v>
      </c>
      <c r="P965">
        <v>66</v>
      </c>
      <c r="Q965" t="str">
        <f t="shared" si="79"/>
        <v>65 yrs &amp; Above</v>
      </c>
      <c r="R965" t="s">
        <v>17</v>
      </c>
    </row>
    <row r="966" spans="1:18">
      <c r="A966">
        <v>27434</v>
      </c>
      <c r="B966" t="s">
        <v>25</v>
      </c>
      <c r="C966" t="str">
        <f t="shared" si="75"/>
        <v>Single</v>
      </c>
      <c r="D966" t="s">
        <v>13</v>
      </c>
      <c r="E966" t="str">
        <f t="shared" si="76"/>
        <v>Male</v>
      </c>
      <c r="F966" s="3">
        <v>70000</v>
      </c>
      <c r="G966" s="3" t="str">
        <f t="shared" si="77"/>
        <v>Middle Class</v>
      </c>
      <c r="H966">
        <v>4</v>
      </c>
      <c r="I966" t="s">
        <v>21</v>
      </c>
      <c r="J966" t="s">
        <v>23</v>
      </c>
      <c r="K966" t="s">
        <v>17</v>
      </c>
      <c r="L966" t="str">
        <f t="shared" si="78"/>
        <v>Home Owner</v>
      </c>
      <c r="M966">
        <v>1</v>
      </c>
      <c r="N966" t="s">
        <v>33</v>
      </c>
      <c r="O966" t="s">
        <v>35</v>
      </c>
      <c r="P966">
        <v>56</v>
      </c>
      <c r="Q966" t="str">
        <f t="shared" si="79"/>
        <v>55 to 64 yrs</v>
      </c>
      <c r="R966" t="s">
        <v>20</v>
      </c>
    </row>
    <row r="967" spans="1:18">
      <c r="A967">
        <v>27756</v>
      </c>
      <c r="B967" t="s">
        <v>25</v>
      </c>
      <c r="C967" t="str">
        <f t="shared" si="75"/>
        <v>Single</v>
      </c>
      <c r="D967" t="s">
        <v>14</v>
      </c>
      <c r="E967" t="str">
        <f t="shared" si="76"/>
        <v>Female</v>
      </c>
      <c r="F967" s="3">
        <v>50000</v>
      </c>
      <c r="G967" s="3" t="str">
        <f t="shared" si="77"/>
        <v>Lower Class</v>
      </c>
      <c r="H967">
        <v>3</v>
      </c>
      <c r="I967" t="s">
        <v>15</v>
      </c>
      <c r="J967" t="s">
        <v>16</v>
      </c>
      <c r="K967" t="s">
        <v>20</v>
      </c>
      <c r="L967" t="str">
        <f t="shared" si="78"/>
        <v>Tenant</v>
      </c>
      <c r="M967">
        <v>1</v>
      </c>
      <c r="N967" t="s">
        <v>18</v>
      </c>
      <c r="O967" t="s">
        <v>35</v>
      </c>
      <c r="P967">
        <v>40</v>
      </c>
      <c r="Q967" t="str">
        <f t="shared" si="79"/>
        <v>35 to 44 yrs</v>
      </c>
      <c r="R967" t="s">
        <v>20</v>
      </c>
    </row>
    <row r="968" spans="1:18">
      <c r="A968">
        <v>23818</v>
      </c>
      <c r="B968" t="s">
        <v>13</v>
      </c>
      <c r="C968" t="str">
        <f t="shared" si="75"/>
        <v>Married</v>
      </c>
      <c r="D968" t="s">
        <v>14</v>
      </c>
      <c r="E968" t="str">
        <f t="shared" si="76"/>
        <v>Female</v>
      </c>
      <c r="F968" s="3">
        <v>50000</v>
      </c>
      <c r="G968" s="3" t="str">
        <f t="shared" si="77"/>
        <v>Lower Class</v>
      </c>
      <c r="H968">
        <v>0</v>
      </c>
      <c r="I968" t="s">
        <v>34</v>
      </c>
      <c r="J968" t="s">
        <v>16</v>
      </c>
      <c r="K968" t="s">
        <v>17</v>
      </c>
      <c r="L968" t="str">
        <f t="shared" si="78"/>
        <v>Home Owner</v>
      </c>
      <c r="M968">
        <v>0</v>
      </c>
      <c r="N968" t="s">
        <v>29</v>
      </c>
      <c r="O968" t="s">
        <v>35</v>
      </c>
      <c r="P968">
        <v>33</v>
      </c>
      <c r="Q968" t="str">
        <f t="shared" si="79"/>
        <v>25 to 34 yrs</v>
      </c>
      <c r="R968" t="s">
        <v>17</v>
      </c>
    </row>
    <row r="969" spans="1:18">
      <c r="A969">
        <v>19012</v>
      </c>
      <c r="B969" t="s">
        <v>13</v>
      </c>
      <c r="C969" t="str">
        <f t="shared" si="75"/>
        <v>Married</v>
      </c>
      <c r="D969" t="s">
        <v>13</v>
      </c>
      <c r="E969" t="str">
        <f t="shared" si="76"/>
        <v>Male</v>
      </c>
      <c r="F969" s="3">
        <v>80000</v>
      </c>
      <c r="G969" s="3" t="str">
        <f t="shared" si="77"/>
        <v>Middle Class</v>
      </c>
      <c r="H969">
        <v>3</v>
      </c>
      <c r="I969" t="s">
        <v>15</v>
      </c>
      <c r="J969" t="s">
        <v>31</v>
      </c>
      <c r="K969" t="s">
        <v>17</v>
      </c>
      <c r="L969" t="str">
        <f t="shared" si="78"/>
        <v>Home Owner</v>
      </c>
      <c r="M969">
        <v>1</v>
      </c>
      <c r="N969" t="s">
        <v>29</v>
      </c>
      <c r="O969" t="s">
        <v>35</v>
      </c>
      <c r="P969">
        <v>56</v>
      </c>
      <c r="Q969" t="str">
        <f t="shared" si="79"/>
        <v>55 to 64 yrs</v>
      </c>
      <c r="R969" t="s">
        <v>20</v>
      </c>
    </row>
    <row r="970" spans="1:18">
      <c r="A970">
        <v>18329</v>
      </c>
      <c r="B970" t="s">
        <v>25</v>
      </c>
      <c r="C970" t="str">
        <f t="shared" si="75"/>
        <v>Single</v>
      </c>
      <c r="D970" t="s">
        <v>13</v>
      </c>
      <c r="E970" t="str">
        <f t="shared" si="76"/>
        <v>Male</v>
      </c>
      <c r="F970" s="3">
        <v>30000</v>
      </c>
      <c r="G970" s="3" t="str">
        <f t="shared" si="77"/>
        <v>Lower Class</v>
      </c>
      <c r="H970">
        <v>0</v>
      </c>
      <c r="I970" t="s">
        <v>32</v>
      </c>
      <c r="J970" t="s">
        <v>22</v>
      </c>
      <c r="K970" t="s">
        <v>20</v>
      </c>
      <c r="L970" t="str">
        <f t="shared" si="78"/>
        <v>Tenant</v>
      </c>
      <c r="M970">
        <v>2</v>
      </c>
      <c r="N970" t="s">
        <v>26</v>
      </c>
      <c r="O970" t="s">
        <v>35</v>
      </c>
      <c r="P970">
        <v>27</v>
      </c>
      <c r="Q970" t="str">
        <f t="shared" si="79"/>
        <v>25 to 34 yrs</v>
      </c>
      <c r="R970" t="s">
        <v>20</v>
      </c>
    </row>
    <row r="971" spans="1:18">
      <c r="A971">
        <v>29037</v>
      </c>
      <c r="B971" t="s">
        <v>13</v>
      </c>
      <c r="C971" t="str">
        <f t="shared" si="75"/>
        <v>Married</v>
      </c>
      <c r="D971" t="s">
        <v>13</v>
      </c>
      <c r="E971" t="str">
        <f t="shared" si="76"/>
        <v>Male</v>
      </c>
      <c r="F971" s="3">
        <v>60000</v>
      </c>
      <c r="G971" s="3" t="str">
        <f t="shared" si="77"/>
        <v>Middle Class</v>
      </c>
      <c r="H971">
        <v>0</v>
      </c>
      <c r="I971" t="s">
        <v>34</v>
      </c>
      <c r="J971" t="s">
        <v>23</v>
      </c>
      <c r="K971" t="s">
        <v>20</v>
      </c>
      <c r="L971" t="str">
        <f t="shared" si="78"/>
        <v>Tenant</v>
      </c>
      <c r="M971">
        <v>0</v>
      </c>
      <c r="N971" t="s">
        <v>18</v>
      </c>
      <c r="O971" t="s">
        <v>35</v>
      </c>
      <c r="P971">
        <v>39</v>
      </c>
      <c r="Q971" t="str">
        <f t="shared" si="79"/>
        <v>35 to 44 yrs</v>
      </c>
      <c r="R971" t="s">
        <v>20</v>
      </c>
    </row>
    <row r="972" spans="1:18">
      <c r="A972">
        <v>26576</v>
      </c>
      <c r="B972" t="s">
        <v>13</v>
      </c>
      <c r="C972" t="str">
        <f t="shared" si="75"/>
        <v>Married</v>
      </c>
      <c r="D972" t="s">
        <v>14</v>
      </c>
      <c r="E972" t="str">
        <f t="shared" si="76"/>
        <v>Female</v>
      </c>
      <c r="F972" s="3">
        <v>60000</v>
      </c>
      <c r="G972" s="3" t="str">
        <f t="shared" si="77"/>
        <v>Middle Class</v>
      </c>
      <c r="H972">
        <v>0</v>
      </c>
      <c r="I972" t="s">
        <v>21</v>
      </c>
      <c r="J972" t="s">
        <v>16</v>
      </c>
      <c r="K972" t="s">
        <v>17</v>
      </c>
      <c r="L972" t="str">
        <f t="shared" si="78"/>
        <v>Home Owner</v>
      </c>
      <c r="M972">
        <v>2</v>
      </c>
      <c r="N972" t="s">
        <v>26</v>
      </c>
      <c r="O972" t="s">
        <v>35</v>
      </c>
      <c r="P972">
        <v>31</v>
      </c>
      <c r="Q972" t="str">
        <f t="shared" si="79"/>
        <v>25 to 34 yrs</v>
      </c>
      <c r="R972" t="s">
        <v>20</v>
      </c>
    </row>
    <row r="973" spans="1:18">
      <c r="A973">
        <v>12192</v>
      </c>
      <c r="B973" t="s">
        <v>25</v>
      </c>
      <c r="C973" t="str">
        <f t="shared" si="75"/>
        <v>Single</v>
      </c>
      <c r="D973" t="s">
        <v>14</v>
      </c>
      <c r="E973" t="str">
        <f t="shared" si="76"/>
        <v>Female</v>
      </c>
      <c r="F973" s="3">
        <v>60000</v>
      </c>
      <c r="G973" s="3" t="str">
        <f t="shared" si="77"/>
        <v>Middle Class</v>
      </c>
      <c r="H973">
        <v>2</v>
      </c>
      <c r="I973" t="s">
        <v>32</v>
      </c>
      <c r="J973" t="s">
        <v>16</v>
      </c>
      <c r="K973" t="s">
        <v>20</v>
      </c>
      <c r="L973" t="str">
        <f t="shared" si="78"/>
        <v>Tenant</v>
      </c>
      <c r="M973">
        <v>2</v>
      </c>
      <c r="N973" t="s">
        <v>29</v>
      </c>
      <c r="O973" t="s">
        <v>35</v>
      </c>
      <c r="P973">
        <v>51</v>
      </c>
      <c r="Q973" t="str">
        <f t="shared" si="79"/>
        <v>45 to 54 yrs</v>
      </c>
      <c r="R973" t="s">
        <v>20</v>
      </c>
    </row>
    <row r="974" spans="1:18">
      <c r="A974">
        <v>14887</v>
      </c>
      <c r="B974" t="s">
        <v>13</v>
      </c>
      <c r="C974" t="str">
        <f t="shared" si="75"/>
        <v>Married</v>
      </c>
      <c r="D974" t="s">
        <v>14</v>
      </c>
      <c r="E974" t="str">
        <f t="shared" si="76"/>
        <v>Female</v>
      </c>
      <c r="F974" s="3">
        <v>30000</v>
      </c>
      <c r="G974" s="3" t="str">
        <f t="shared" si="77"/>
        <v>Lower Class</v>
      </c>
      <c r="H974">
        <v>1</v>
      </c>
      <c r="I974" t="s">
        <v>30</v>
      </c>
      <c r="J974" t="s">
        <v>22</v>
      </c>
      <c r="K974" t="s">
        <v>17</v>
      </c>
      <c r="L974" t="str">
        <f t="shared" si="78"/>
        <v>Home Owner</v>
      </c>
      <c r="M974">
        <v>1</v>
      </c>
      <c r="N974" t="s">
        <v>26</v>
      </c>
      <c r="O974" t="s">
        <v>35</v>
      </c>
      <c r="P974">
        <v>52</v>
      </c>
      <c r="Q974" t="str">
        <f t="shared" si="79"/>
        <v>45 to 54 yrs</v>
      </c>
      <c r="R974" t="s">
        <v>20</v>
      </c>
    </row>
    <row r="975" spans="1:18">
      <c r="A975">
        <v>11734</v>
      </c>
      <c r="B975" t="s">
        <v>13</v>
      </c>
      <c r="C975" t="str">
        <f t="shared" si="75"/>
        <v>Married</v>
      </c>
      <c r="D975" t="s">
        <v>13</v>
      </c>
      <c r="E975" t="str">
        <f t="shared" si="76"/>
        <v>Male</v>
      </c>
      <c r="F975" s="3">
        <v>60000</v>
      </c>
      <c r="G975" s="3" t="str">
        <f t="shared" si="77"/>
        <v>Middle Class</v>
      </c>
      <c r="H975">
        <v>1</v>
      </c>
      <c r="I975" t="s">
        <v>21</v>
      </c>
      <c r="J975" t="s">
        <v>16</v>
      </c>
      <c r="K975" t="s">
        <v>20</v>
      </c>
      <c r="L975" t="str">
        <f t="shared" si="78"/>
        <v>Tenant</v>
      </c>
      <c r="M975">
        <v>1</v>
      </c>
      <c r="N975" t="s">
        <v>18</v>
      </c>
      <c r="O975" t="s">
        <v>35</v>
      </c>
      <c r="P975">
        <v>47</v>
      </c>
      <c r="Q975" t="str">
        <f t="shared" si="79"/>
        <v>45 to 54 yrs</v>
      </c>
      <c r="R975" t="s">
        <v>20</v>
      </c>
    </row>
    <row r="976" spans="1:18">
      <c r="A976">
        <v>17462</v>
      </c>
      <c r="B976" t="s">
        <v>13</v>
      </c>
      <c r="C976" t="str">
        <f t="shared" si="75"/>
        <v>Married</v>
      </c>
      <c r="D976" t="s">
        <v>13</v>
      </c>
      <c r="E976" t="str">
        <f t="shared" si="76"/>
        <v>Male</v>
      </c>
      <c r="F976" s="3">
        <v>70000</v>
      </c>
      <c r="G976" s="3" t="str">
        <f t="shared" si="77"/>
        <v>Middle Class</v>
      </c>
      <c r="H976">
        <v>3</v>
      </c>
      <c r="I976" t="s">
        <v>34</v>
      </c>
      <c r="J976" t="s">
        <v>31</v>
      </c>
      <c r="K976" t="s">
        <v>17</v>
      </c>
      <c r="L976" t="str">
        <f t="shared" si="78"/>
        <v>Home Owner</v>
      </c>
      <c r="M976">
        <v>2</v>
      </c>
      <c r="N976" t="s">
        <v>26</v>
      </c>
      <c r="O976" t="s">
        <v>35</v>
      </c>
      <c r="P976">
        <v>53</v>
      </c>
      <c r="Q976" t="str">
        <f t="shared" si="79"/>
        <v>45 to 54 yrs</v>
      </c>
      <c r="R976" t="s">
        <v>17</v>
      </c>
    </row>
    <row r="977" spans="1:18">
      <c r="A977">
        <v>20659</v>
      </c>
      <c r="B977" t="s">
        <v>13</v>
      </c>
      <c r="C977" t="str">
        <f t="shared" si="75"/>
        <v>Married</v>
      </c>
      <c r="D977" t="s">
        <v>13</v>
      </c>
      <c r="E977" t="str">
        <f t="shared" si="76"/>
        <v>Male</v>
      </c>
      <c r="F977" s="3">
        <v>70000</v>
      </c>
      <c r="G977" s="3" t="str">
        <f t="shared" si="77"/>
        <v>Middle Class</v>
      </c>
      <c r="H977">
        <v>3</v>
      </c>
      <c r="I977" t="s">
        <v>34</v>
      </c>
      <c r="J977" t="s">
        <v>23</v>
      </c>
      <c r="K977" t="s">
        <v>17</v>
      </c>
      <c r="L977" t="str">
        <f t="shared" si="78"/>
        <v>Home Owner</v>
      </c>
      <c r="M977">
        <v>0</v>
      </c>
      <c r="N977" t="s">
        <v>18</v>
      </c>
      <c r="O977" t="s">
        <v>35</v>
      </c>
      <c r="P977">
        <v>35</v>
      </c>
      <c r="Q977" t="str">
        <f t="shared" si="79"/>
        <v>35 to 44 yrs</v>
      </c>
      <c r="R977" t="s">
        <v>17</v>
      </c>
    </row>
    <row r="978" spans="1:18">
      <c r="A978">
        <v>28004</v>
      </c>
      <c r="B978" t="s">
        <v>13</v>
      </c>
      <c r="C978" t="str">
        <f t="shared" si="75"/>
        <v>Married</v>
      </c>
      <c r="D978" t="s">
        <v>14</v>
      </c>
      <c r="E978" t="str">
        <f t="shared" si="76"/>
        <v>Female</v>
      </c>
      <c r="F978" s="3">
        <v>60000</v>
      </c>
      <c r="G978" s="3" t="str">
        <f t="shared" si="77"/>
        <v>Middle Class</v>
      </c>
      <c r="H978">
        <v>3</v>
      </c>
      <c r="I978" t="s">
        <v>15</v>
      </c>
      <c r="J978" t="s">
        <v>31</v>
      </c>
      <c r="K978" t="s">
        <v>17</v>
      </c>
      <c r="L978" t="str">
        <f t="shared" si="78"/>
        <v>Home Owner</v>
      </c>
      <c r="M978">
        <v>2</v>
      </c>
      <c r="N978" t="s">
        <v>33</v>
      </c>
      <c r="O978" t="s">
        <v>35</v>
      </c>
      <c r="P978">
        <v>66</v>
      </c>
      <c r="Q978" t="str">
        <f t="shared" si="79"/>
        <v>65 yrs &amp; Above</v>
      </c>
      <c r="R978" t="s">
        <v>20</v>
      </c>
    </row>
    <row r="979" spans="1:18">
      <c r="A979">
        <v>19741</v>
      </c>
      <c r="B979" t="s">
        <v>25</v>
      </c>
      <c r="C979" t="str">
        <f t="shared" si="75"/>
        <v>Single</v>
      </c>
      <c r="D979" t="s">
        <v>14</v>
      </c>
      <c r="E979" t="str">
        <f t="shared" si="76"/>
        <v>Female</v>
      </c>
      <c r="F979" s="3">
        <v>80000</v>
      </c>
      <c r="G979" s="3" t="str">
        <f t="shared" si="77"/>
        <v>Middle Class</v>
      </c>
      <c r="H979">
        <v>4</v>
      </c>
      <c r="I979" t="s">
        <v>34</v>
      </c>
      <c r="J979" t="s">
        <v>31</v>
      </c>
      <c r="K979" t="s">
        <v>17</v>
      </c>
      <c r="L979" t="str">
        <f t="shared" si="78"/>
        <v>Home Owner</v>
      </c>
      <c r="M979">
        <v>2</v>
      </c>
      <c r="N979" t="s">
        <v>26</v>
      </c>
      <c r="O979" t="s">
        <v>35</v>
      </c>
      <c r="P979">
        <v>65</v>
      </c>
      <c r="Q979" t="str">
        <f t="shared" si="79"/>
        <v>65 yrs &amp; Above</v>
      </c>
      <c r="R979" t="s">
        <v>20</v>
      </c>
    </row>
    <row r="980" spans="1:18">
      <c r="A980">
        <v>17450</v>
      </c>
      <c r="B980" t="s">
        <v>13</v>
      </c>
      <c r="C980" t="str">
        <f t="shared" si="75"/>
        <v>Married</v>
      </c>
      <c r="D980" t="s">
        <v>13</v>
      </c>
      <c r="E980" t="str">
        <f t="shared" si="76"/>
        <v>Male</v>
      </c>
      <c r="F980" s="3">
        <v>80000</v>
      </c>
      <c r="G980" s="3" t="str">
        <f t="shared" si="77"/>
        <v>Middle Class</v>
      </c>
      <c r="H980">
        <v>5</v>
      </c>
      <c r="I980" t="s">
        <v>21</v>
      </c>
      <c r="J980" t="s">
        <v>23</v>
      </c>
      <c r="K980" t="s">
        <v>17</v>
      </c>
      <c r="L980" t="str">
        <f t="shared" si="78"/>
        <v>Home Owner</v>
      </c>
      <c r="M980">
        <v>3</v>
      </c>
      <c r="N980" t="s">
        <v>26</v>
      </c>
      <c r="O980" t="s">
        <v>35</v>
      </c>
      <c r="P980">
        <v>45</v>
      </c>
      <c r="Q980" t="str">
        <f t="shared" si="79"/>
        <v>45 to 54 yrs</v>
      </c>
      <c r="R980" t="s">
        <v>20</v>
      </c>
    </row>
    <row r="981" spans="1:18">
      <c r="A981">
        <v>17337</v>
      </c>
      <c r="B981" t="s">
        <v>25</v>
      </c>
      <c r="C981" t="str">
        <f t="shared" si="75"/>
        <v>Single</v>
      </c>
      <c r="D981" t="s">
        <v>13</v>
      </c>
      <c r="E981" t="str">
        <f t="shared" si="76"/>
        <v>Male</v>
      </c>
      <c r="F981" s="3">
        <v>40000</v>
      </c>
      <c r="G981" s="3" t="str">
        <f t="shared" si="77"/>
        <v>Lower Class</v>
      </c>
      <c r="H981">
        <v>0</v>
      </c>
      <c r="I981" t="s">
        <v>30</v>
      </c>
      <c r="J981" t="s">
        <v>16</v>
      </c>
      <c r="K981" t="s">
        <v>17</v>
      </c>
      <c r="L981" t="str">
        <f t="shared" si="78"/>
        <v>Home Owner</v>
      </c>
      <c r="M981">
        <v>1</v>
      </c>
      <c r="N981" t="s">
        <v>26</v>
      </c>
      <c r="O981" t="s">
        <v>35</v>
      </c>
      <c r="P981">
        <v>31</v>
      </c>
      <c r="Q981" t="str">
        <f t="shared" si="79"/>
        <v>25 to 34 yrs</v>
      </c>
      <c r="R981" t="s">
        <v>20</v>
      </c>
    </row>
    <row r="982" spans="1:18">
      <c r="A982">
        <v>18594</v>
      </c>
      <c r="B982" t="s">
        <v>25</v>
      </c>
      <c r="C982" t="str">
        <f t="shared" si="75"/>
        <v>Single</v>
      </c>
      <c r="D982" t="s">
        <v>14</v>
      </c>
      <c r="E982" t="str">
        <f t="shared" si="76"/>
        <v>Female</v>
      </c>
      <c r="F982" s="3">
        <v>80000</v>
      </c>
      <c r="G982" s="3" t="str">
        <f t="shared" si="77"/>
        <v>Middle Class</v>
      </c>
      <c r="H982">
        <v>3</v>
      </c>
      <c r="I982" t="s">
        <v>15</v>
      </c>
      <c r="J982" t="s">
        <v>16</v>
      </c>
      <c r="K982" t="s">
        <v>17</v>
      </c>
      <c r="L982" t="str">
        <f t="shared" si="78"/>
        <v>Home Owner</v>
      </c>
      <c r="M982">
        <v>3</v>
      </c>
      <c r="N982" t="s">
        <v>33</v>
      </c>
      <c r="O982" t="s">
        <v>35</v>
      </c>
      <c r="P982">
        <v>40</v>
      </c>
      <c r="Q982" t="str">
        <f t="shared" si="79"/>
        <v>35 to 44 yrs</v>
      </c>
      <c r="R982" t="s">
        <v>17</v>
      </c>
    </row>
    <row r="983" spans="1:18">
      <c r="A983">
        <v>15982</v>
      </c>
      <c r="B983" t="s">
        <v>13</v>
      </c>
      <c r="C983" t="str">
        <f t="shared" si="75"/>
        <v>Married</v>
      </c>
      <c r="D983" t="s">
        <v>13</v>
      </c>
      <c r="E983" t="str">
        <f t="shared" si="76"/>
        <v>Male</v>
      </c>
      <c r="F983" s="3">
        <v>110000</v>
      </c>
      <c r="G983" s="3" t="str">
        <f t="shared" si="77"/>
        <v>Middle Class</v>
      </c>
      <c r="H983">
        <v>5</v>
      </c>
      <c r="I983" t="s">
        <v>21</v>
      </c>
      <c r="J983" t="s">
        <v>23</v>
      </c>
      <c r="K983" t="s">
        <v>17</v>
      </c>
      <c r="L983" t="str">
        <f t="shared" si="78"/>
        <v>Home Owner</v>
      </c>
      <c r="M983">
        <v>4</v>
      </c>
      <c r="N983" t="s">
        <v>24</v>
      </c>
      <c r="O983" t="s">
        <v>35</v>
      </c>
      <c r="P983">
        <v>46</v>
      </c>
      <c r="Q983" t="str">
        <f t="shared" si="79"/>
        <v>45 to 54 yrs</v>
      </c>
      <c r="R983" t="s">
        <v>20</v>
      </c>
    </row>
    <row r="984" spans="1:18">
      <c r="A984">
        <v>28625</v>
      </c>
      <c r="B984" t="s">
        <v>25</v>
      </c>
      <c r="C984" t="str">
        <f t="shared" si="75"/>
        <v>Single</v>
      </c>
      <c r="D984" t="s">
        <v>13</v>
      </c>
      <c r="E984" t="str">
        <f t="shared" si="76"/>
        <v>Male</v>
      </c>
      <c r="F984" s="3">
        <v>40000</v>
      </c>
      <c r="G984" s="3" t="str">
        <f t="shared" si="77"/>
        <v>Lower Class</v>
      </c>
      <c r="H984">
        <v>2</v>
      </c>
      <c r="I984" t="s">
        <v>21</v>
      </c>
      <c r="J984" t="s">
        <v>22</v>
      </c>
      <c r="K984" t="s">
        <v>20</v>
      </c>
      <c r="L984" t="str">
        <f t="shared" si="78"/>
        <v>Tenant</v>
      </c>
      <c r="M984">
        <v>1</v>
      </c>
      <c r="N984" t="s">
        <v>29</v>
      </c>
      <c r="O984" t="s">
        <v>35</v>
      </c>
      <c r="P984">
        <v>47</v>
      </c>
      <c r="Q984" t="str">
        <f t="shared" si="79"/>
        <v>45 to 54 yrs</v>
      </c>
      <c r="R984" t="s">
        <v>17</v>
      </c>
    </row>
    <row r="985" spans="1:18">
      <c r="A985">
        <v>11269</v>
      </c>
      <c r="B985" t="s">
        <v>13</v>
      </c>
      <c r="C985" t="str">
        <f t="shared" si="75"/>
        <v>Married</v>
      </c>
      <c r="D985" t="s">
        <v>13</v>
      </c>
      <c r="E985" t="str">
        <f t="shared" si="76"/>
        <v>Male</v>
      </c>
      <c r="F985" s="3">
        <v>130000</v>
      </c>
      <c r="G985" s="3" t="str">
        <f t="shared" si="77"/>
        <v>Upper Middle Class</v>
      </c>
      <c r="H985">
        <v>2</v>
      </c>
      <c r="I985" t="s">
        <v>34</v>
      </c>
      <c r="J985" t="s">
        <v>31</v>
      </c>
      <c r="K985" t="s">
        <v>17</v>
      </c>
      <c r="L985" t="str">
        <f t="shared" si="78"/>
        <v>Home Owner</v>
      </c>
      <c r="M985">
        <v>2</v>
      </c>
      <c r="N985" t="s">
        <v>18</v>
      </c>
      <c r="O985" t="s">
        <v>35</v>
      </c>
      <c r="P985">
        <v>41</v>
      </c>
      <c r="Q985" t="str">
        <f t="shared" si="79"/>
        <v>35 to 44 yrs</v>
      </c>
      <c r="R985" t="s">
        <v>20</v>
      </c>
    </row>
    <row r="986" spans="1:18">
      <c r="A986">
        <v>25148</v>
      </c>
      <c r="B986" t="s">
        <v>13</v>
      </c>
      <c r="C986" t="str">
        <f t="shared" si="75"/>
        <v>Married</v>
      </c>
      <c r="D986" t="s">
        <v>13</v>
      </c>
      <c r="E986" t="str">
        <f t="shared" si="76"/>
        <v>Male</v>
      </c>
      <c r="F986" s="3">
        <v>60000</v>
      </c>
      <c r="G986" s="3" t="str">
        <f t="shared" si="77"/>
        <v>Middle Class</v>
      </c>
      <c r="H986">
        <v>2</v>
      </c>
      <c r="I986" t="s">
        <v>30</v>
      </c>
      <c r="J986" t="s">
        <v>23</v>
      </c>
      <c r="K986" t="s">
        <v>20</v>
      </c>
      <c r="L986" t="str">
        <f t="shared" si="78"/>
        <v>Tenant</v>
      </c>
      <c r="M986">
        <v>2</v>
      </c>
      <c r="N986" t="s">
        <v>29</v>
      </c>
      <c r="O986" t="s">
        <v>35</v>
      </c>
      <c r="P986">
        <v>48</v>
      </c>
      <c r="Q986" t="str">
        <f t="shared" si="79"/>
        <v>45 to 54 yrs</v>
      </c>
      <c r="R986" t="s">
        <v>17</v>
      </c>
    </row>
    <row r="987" spans="1:18">
      <c r="A987">
        <v>13920</v>
      </c>
      <c r="B987" t="s">
        <v>25</v>
      </c>
      <c r="C987" t="str">
        <f t="shared" si="75"/>
        <v>Single</v>
      </c>
      <c r="D987" t="s">
        <v>14</v>
      </c>
      <c r="E987" t="str">
        <f t="shared" si="76"/>
        <v>Female</v>
      </c>
      <c r="F987" s="3">
        <v>50000</v>
      </c>
      <c r="G987" s="3" t="str">
        <f t="shared" si="77"/>
        <v>Lower Class</v>
      </c>
      <c r="H987">
        <v>4</v>
      </c>
      <c r="I987" t="s">
        <v>15</v>
      </c>
      <c r="J987" t="s">
        <v>16</v>
      </c>
      <c r="K987" t="s">
        <v>17</v>
      </c>
      <c r="L987" t="str">
        <f t="shared" si="78"/>
        <v>Home Owner</v>
      </c>
      <c r="M987">
        <v>2</v>
      </c>
      <c r="N987" t="s">
        <v>18</v>
      </c>
      <c r="O987" t="s">
        <v>35</v>
      </c>
      <c r="P987">
        <v>42</v>
      </c>
      <c r="Q987" t="str">
        <f t="shared" si="79"/>
        <v>35 to 44 yrs</v>
      </c>
      <c r="R987" t="s">
        <v>20</v>
      </c>
    </row>
    <row r="988" spans="1:18">
      <c r="A988">
        <v>23704</v>
      </c>
      <c r="B988" t="s">
        <v>25</v>
      </c>
      <c r="C988" t="str">
        <f t="shared" si="75"/>
        <v>Single</v>
      </c>
      <c r="D988" t="s">
        <v>13</v>
      </c>
      <c r="E988" t="str">
        <f t="shared" si="76"/>
        <v>Male</v>
      </c>
      <c r="F988" s="3">
        <v>40000</v>
      </c>
      <c r="G988" s="3" t="str">
        <f t="shared" si="77"/>
        <v>Lower Class</v>
      </c>
      <c r="H988">
        <v>5</v>
      </c>
      <c r="I988" t="s">
        <v>30</v>
      </c>
      <c r="J988" t="s">
        <v>23</v>
      </c>
      <c r="K988" t="s">
        <v>17</v>
      </c>
      <c r="L988" t="str">
        <f t="shared" si="78"/>
        <v>Home Owner</v>
      </c>
      <c r="M988">
        <v>4</v>
      </c>
      <c r="N988" t="s">
        <v>33</v>
      </c>
      <c r="O988" t="s">
        <v>35</v>
      </c>
      <c r="P988">
        <v>60</v>
      </c>
      <c r="Q988" t="str">
        <f t="shared" si="79"/>
        <v>55 to 64 yrs</v>
      </c>
      <c r="R988" t="s">
        <v>17</v>
      </c>
    </row>
    <row r="989" spans="1:18">
      <c r="A989">
        <v>28972</v>
      </c>
      <c r="B989" t="s">
        <v>25</v>
      </c>
      <c r="C989" t="str">
        <f t="shared" si="75"/>
        <v>Single</v>
      </c>
      <c r="D989" t="s">
        <v>14</v>
      </c>
      <c r="E989" t="str">
        <f t="shared" si="76"/>
        <v>Female</v>
      </c>
      <c r="F989" s="3">
        <v>60000</v>
      </c>
      <c r="G989" s="3" t="str">
        <f t="shared" si="77"/>
        <v>Middle Class</v>
      </c>
      <c r="H989">
        <v>3</v>
      </c>
      <c r="I989" t="s">
        <v>34</v>
      </c>
      <c r="J989" t="s">
        <v>31</v>
      </c>
      <c r="K989" t="s">
        <v>17</v>
      </c>
      <c r="L989" t="str">
        <f t="shared" si="78"/>
        <v>Home Owner</v>
      </c>
      <c r="M989">
        <v>2</v>
      </c>
      <c r="N989" t="s">
        <v>33</v>
      </c>
      <c r="O989" t="s">
        <v>35</v>
      </c>
      <c r="P989">
        <v>66</v>
      </c>
      <c r="Q989" t="str">
        <f t="shared" si="79"/>
        <v>65 yrs &amp; Above</v>
      </c>
      <c r="R989" t="s">
        <v>20</v>
      </c>
    </row>
    <row r="990" spans="1:18">
      <c r="A990">
        <v>22730</v>
      </c>
      <c r="B990" t="s">
        <v>13</v>
      </c>
      <c r="C990" t="str">
        <f t="shared" si="75"/>
        <v>Married</v>
      </c>
      <c r="D990" t="s">
        <v>13</v>
      </c>
      <c r="E990" t="str">
        <f t="shared" si="76"/>
        <v>Male</v>
      </c>
      <c r="F990" s="3">
        <v>70000</v>
      </c>
      <c r="G990" s="3" t="str">
        <f t="shared" si="77"/>
        <v>Middle Class</v>
      </c>
      <c r="H990">
        <v>5</v>
      </c>
      <c r="I990" t="s">
        <v>15</v>
      </c>
      <c r="J990" t="s">
        <v>31</v>
      </c>
      <c r="K990" t="s">
        <v>17</v>
      </c>
      <c r="L990" t="str">
        <f t="shared" si="78"/>
        <v>Home Owner</v>
      </c>
      <c r="M990">
        <v>2</v>
      </c>
      <c r="N990" t="s">
        <v>33</v>
      </c>
      <c r="O990" t="s">
        <v>35</v>
      </c>
      <c r="P990">
        <v>63</v>
      </c>
      <c r="Q990" t="str">
        <f t="shared" si="79"/>
        <v>55 to 64 yrs</v>
      </c>
      <c r="R990" t="s">
        <v>20</v>
      </c>
    </row>
    <row r="991" spans="1:18">
      <c r="A991">
        <v>29134</v>
      </c>
      <c r="B991" t="s">
        <v>13</v>
      </c>
      <c r="C991" t="str">
        <f t="shared" si="75"/>
        <v>Married</v>
      </c>
      <c r="D991" t="s">
        <v>13</v>
      </c>
      <c r="E991" t="str">
        <f t="shared" si="76"/>
        <v>Male</v>
      </c>
      <c r="F991" s="3">
        <v>60000</v>
      </c>
      <c r="G991" s="3" t="str">
        <f t="shared" si="77"/>
        <v>Middle Class</v>
      </c>
      <c r="H991">
        <v>4</v>
      </c>
      <c r="I991" t="s">
        <v>15</v>
      </c>
      <c r="J991" t="s">
        <v>16</v>
      </c>
      <c r="K991" t="s">
        <v>20</v>
      </c>
      <c r="L991" t="str">
        <f t="shared" si="78"/>
        <v>Tenant</v>
      </c>
      <c r="M991">
        <v>3</v>
      </c>
      <c r="N991" t="s">
        <v>33</v>
      </c>
      <c r="O991" t="s">
        <v>35</v>
      </c>
      <c r="P991">
        <v>42</v>
      </c>
      <c r="Q991" t="str">
        <f t="shared" si="79"/>
        <v>35 to 44 yrs</v>
      </c>
      <c r="R991" t="s">
        <v>20</v>
      </c>
    </row>
    <row r="992" spans="1:18">
      <c r="A992">
        <v>14332</v>
      </c>
      <c r="B992" t="s">
        <v>25</v>
      </c>
      <c r="C992" t="str">
        <f t="shared" si="75"/>
        <v>Single</v>
      </c>
      <c r="D992" t="s">
        <v>14</v>
      </c>
      <c r="E992" t="str">
        <f t="shared" si="76"/>
        <v>Female</v>
      </c>
      <c r="F992" s="3">
        <v>30000</v>
      </c>
      <c r="G992" s="3" t="str">
        <f t="shared" si="77"/>
        <v>Lower Class</v>
      </c>
      <c r="H992">
        <v>0</v>
      </c>
      <c r="I992" t="s">
        <v>30</v>
      </c>
      <c r="J992" t="s">
        <v>16</v>
      </c>
      <c r="K992" t="s">
        <v>20</v>
      </c>
      <c r="L992" t="str">
        <f t="shared" si="78"/>
        <v>Tenant</v>
      </c>
      <c r="M992">
        <v>2</v>
      </c>
      <c r="N992" t="s">
        <v>26</v>
      </c>
      <c r="O992" t="s">
        <v>35</v>
      </c>
      <c r="P992">
        <v>26</v>
      </c>
      <c r="Q992" t="str">
        <f t="shared" si="79"/>
        <v>25 to 34 yrs</v>
      </c>
      <c r="R992" t="s">
        <v>20</v>
      </c>
    </row>
    <row r="993" spans="1:18">
      <c r="A993">
        <v>19117</v>
      </c>
      <c r="B993" t="s">
        <v>25</v>
      </c>
      <c r="C993" t="str">
        <f t="shared" si="75"/>
        <v>Single</v>
      </c>
      <c r="D993" t="s">
        <v>14</v>
      </c>
      <c r="E993" t="str">
        <f t="shared" si="76"/>
        <v>Female</v>
      </c>
      <c r="F993" s="3">
        <v>60000</v>
      </c>
      <c r="G993" s="3" t="str">
        <f t="shared" si="77"/>
        <v>Middle Class</v>
      </c>
      <c r="H993">
        <v>1</v>
      </c>
      <c r="I993" t="s">
        <v>34</v>
      </c>
      <c r="J993" t="s">
        <v>23</v>
      </c>
      <c r="K993" t="s">
        <v>17</v>
      </c>
      <c r="L993" t="str">
        <f t="shared" si="78"/>
        <v>Home Owner</v>
      </c>
      <c r="M993">
        <v>0</v>
      </c>
      <c r="N993" t="s">
        <v>24</v>
      </c>
      <c r="O993" t="s">
        <v>35</v>
      </c>
      <c r="P993">
        <v>36</v>
      </c>
      <c r="Q993" t="str">
        <f t="shared" si="79"/>
        <v>35 to 44 yrs</v>
      </c>
      <c r="R993" t="s">
        <v>17</v>
      </c>
    </row>
    <row r="994" spans="1:18">
      <c r="A994">
        <v>22864</v>
      </c>
      <c r="B994" t="s">
        <v>13</v>
      </c>
      <c r="C994" t="str">
        <f t="shared" si="75"/>
        <v>Married</v>
      </c>
      <c r="D994" t="s">
        <v>13</v>
      </c>
      <c r="E994" t="str">
        <f t="shared" si="76"/>
        <v>Male</v>
      </c>
      <c r="F994" s="3">
        <v>90000</v>
      </c>
      <c r="G994" s="3" t="str">
        <f t="shared" si="77"/>
        <v>Middle Class</v>
      </c>
      <c r="H994">
        <v>2</v>
      </c>
      <c r="I994" t="s">
        <v>21</v>
      </c>
      <c r="J994" t="s">
        <v>23</v>
      </c>
      <c r="K994" t="s">
        <v>20</v>
      </c>
      <c r="L994" t="str">
        <f t="shared" si="78"/>
        <v>Tenant</v>
      </c>
      <c r="M994">
        <v>0</v>
      </c>
      <c r="N994" t="s">
        <v>26</v>
      </c>
      <c r="O994" t="s">
        <v>35</v>
      </c>
      <c r="P994">
        <v>49</v>
      </c>
      <c r="Q994" t="str">
        <f t="shared" si="79"/>
        <v>45 to 54 yrs</v>
      </c>
      <c r="R994" t="s">
        <v>17</v>
      </c>
    </row>
    <row r="995" spans="1:18">
      <c r="A995">
        <v>11292</v>
      </c>
      <c r="B995" t="s">
        <v>25</v>
      </c>
      <c r="C995" t="str">
        <f t="shared" si="75"/>
        <v>Single</v>
      </c>
      <c r="D995" t="s">
        <v>13</v>
      </c>
      <c r="E995" t="str">
        <f t="shared" si="76"/>
        <v>Male</v>
      </c>
      <c r="F995" s="3">
        <v>150000</v>
      </c>
      <c r="G995" s="3" t="str">
        <f t="shared" si="77"/>
        <v>Upper Middle Class</v>
      </c>
      <c r="H995">
        <v>1</v>
      </c>
      <c r="I995" t="s">
        <v>21</v>
      </c>
      <c r="J995" t="s">
        <v>23</v>
      </c>
      <c r="K995" t="s">
        <v>20</v>
      </c>
      <c r="L995" t="str">
        <f t="shared" si="78"/>
        <v>Tenant</v>
      </c>
      <c r="M995">
        <v>3</v>
      </c>
      <c r="N995" t="s">
        <v>18</v>
      </c>
      <c r="O995" t="s">
        <v>35</v>
      </c>
      <c r="P995">
        <v>44</v>
      </c>
      <c r="Q995" t="str">
        <f t="shared" si="79"/>
        <v>35 to 44 yrs</v>
      </c>
      <c r="R995" t="s">
        <v>17</v>
      </c>
    </row>
    <row r="996" spans="1:18">
      <c r="A996">
        <v>13466</v>
      </c>
      <c r="B996" t="s">
        <v>13</v>
      </c>
      <c r="C996" t="str">
        <f t="shared" si="75"/>
        <v>Married</v>
      </c>
      <c r="D996" t="s">
        <v>13</v>
      </c>
      <c r="E996" t="str">
        <f t="shared" si="76"/>
        <v>Male</v>
      </c>
      <c r="F996" s="3">
        <v>80000</v>
      </c>
      <c r="G996" s="3" t="str">
        <f t="shared" si="77"/>
        <v>Middle Class</v>
      </c>
      <c r="H996">
        <v>5</v>
      </c>
      <c r="I996" t="s">
        <v>21</v>
      </c>
      <c r="J996" t="s">
        <v>23</v>
      </c>
      <c r="K996" t="s">
        <v>17</v>
      </c>
      <c r="L996" t="str">
        <f t="shared" si="78"/>
        <v>Home Owner</v>
      </c>
      <c r="M996">
        <v>3</v>
      </c>
      <c r="N996" t="s">
        <v>29</v>
      </c>
      <c r="O996" t="s">
        <v>35</v>
      </c>
      <c r="P996">
        <v>46</v>
      </c>
      <c r="Q996" t="str">
        <f t="shared" si="79"/>
        <v>45 to 54 yrs</v>
      </c>
      <c r="R996" t="s">
        <v>20</v>
      </c>
    </row>
    <row r="997" spans="1:18">
      <c r="A997">
        <v>23731</v>
      </c>
      <c r="B997" t="s">
        <v>13</v>
      </c>
      <c r="C997" t="str">
        <f t="shared" si="75"/>
        <v>Married</v>
      </c>
      <c r="D997" t="s">
        <v>13</v>
      </c>
      <c r="E997" t="str">
        <f t="shared" si="76"/>
        <v>Male</v>
      </c>
      <c r="F997" s="3">
        <v>60000</v>
      </c>
      <c r="G997" s="3" t="str">
        <f t="shared" si="77"/>
        <v>Middle Class</v>
      </c>
      <c r="H997" s="4">
        <v>2</v>
      </c>
      <c r="I997" t="s">
        <v>30</v>
      </c>
      <c r="J997" t="s">
        <v>23</v>
      </c>
      <c r="K997" t="s">
        <v>17</v>
      </c>
      <c r="L997" t="str">
        <f t="shared" si="78"/>
        <v>Home Owner</v>
      </c>
      <c r="M997">
        <v>2</v>
      </c>
      <c r="N997" t="s">
        <v>24</v>
      </c>
      <c r="O997" t="s">
        <v>35</v>
      </c>
      <c r="P997">
        <v>54</v>
      </c>
      <c r="Q997" t="str">
        <f t="shared" si="79"/>
        <v>45 to 54 yrs</v>
      </c>
      <c r="R997" t="s">
        <v>17</v>
      </c>
    </row>
    <row r="998" spans="1:18">
      <c r="A998">
        <v>28672</v>
      </c>
      <c r="B998" t="s">
        <v>25</v>
      </c>
      <c r="C998" t="str">
        <f t="shared" si="75"/>
        <v>Single</v>
      </c>
      <c r="D998" t="s">
        <v>13</v>
      </c>
      <c r="E998" t="str">
        <f t="shared" si="76"/>
        <v>Male</v>
      </c>
      <c r="F998" s="3">
        <v>70000</v>
      </c>
      <c r="G998" s="3" t="str">
        <f t="shared" si="77"/>
        <v>Middle Class</v>
      </c>
      <c r="H998">
        <v>4</v>
      </c>
      <c r="I998" t="s">
        <v>34</v>
      </c>
      <c r="J998" t="s">
        <v>23</v>
      </c>
      <c r="K998" t="s">
        <v>17</v>
      </c>
      <c r="L998" t="str">
        <f t="shared" si="78"/>
        <v>Home Owner</v>
      </c>
      <c r="M998">
        <v>0</v>
      </c>
      <c r="N998" t="s">
        <v>24</v>
      </c>
      <c r="O998" t="s">
        <v>35</v>
      </c>
      <c r="P998">
        <v>35</v>
      </c>
      <c r="Q998" t="str">
        <f t="shared" si="79"/>
        <v>35 to 44 yrs</v>
      </c>
      <c r="R998" t="s">
        <v>17</v>
      </c>
    </row>
    <row r="999" spans="1:18">
      <c r="A999">
        <v>11809</v>
      </c>
      <c r="B999" t="s">
        <v>13</v>
      </c>
      <c r="C999" t="str">
        <f t="shared" si="75"/>
        <v>Married</v>
      </c>
      <c r="D999" t="s">
        <v>13</v>
      </c>
      <c r="E999" t="str">
        <f t="shared" si="76"/>
        <v>Male</v>
      </c>
      <c r="F999" s="3">
        <v>60000</v>
      </c>
      <c r="G999" s="3" t="str">
        <f t="shared" si="77"/>
        <v>Middle Class</v>
      </c>
      <c r="H999">
        <v>2</v>
      </c>
      <c r="I999" t="s">
        <v>15</v>
      </c>
      <c r="J999" t="s">
        <v>16</v>
      </c>
      <c r="K999" t="s">
        <v>17</v>
      </c>
      <c r="L999" t="str">
        <f t="shared" si="78"/>
        <v>Home Owner</v>
      </c>
      <c r="M999">
        <v>0</v>
      </c>
      <c r="N999" t="s">
        <v>18</v>
      </c>
      <c r="O999" t="s">
        <v>35</v>
      </c>
      <c r="P999">
        <v>38</v>
      </c>
      <c r="Q999" t="str">
        <f t="shared" si="79"/>
        <v>35 to 44 yrs</v>
      </c>
      <c r="R999" t="s">
        <v>17</v>
      </c>
    </row>
    <row r="1000" spans="1:18">
      <c r="A1000">
        <v>19664</v>
      </c>
      <c r="B1000" t="s">
        <v>25</v>
      </c>
      <c r="C1000" t="str">
        <f t="shared" si="75"/>
        <v>Single</v>
      </c>
      <c r="D1000" t="s">
        <v>13</v>
      </c>
      <c r="E1000" t="str">
        <f t="shared" si="76"/>
        <v>Male</v>
      </c>
      <c r="F1000" s="3">
        <v>100000</v>
      </c>
      <c r="G1000" s="3" t="str">
        <f t="shared" si="77"/>
        <v>Middle Class</v>
      </c>
      <c r="H1000">
        <v>3</v>
      </c>
      <c r="I1000" t="s">
        <v>15</v>
      </c>
      <c r="J1000" t="s">
        <v>31</v>
      </c>
      <c r="K1000" t="s">
        <v>20</v>
      </c>
      <c r="L1000" t="str">
        <f t="shared" si="78"/>
        <v>Tenant</v>
      </c>
      <c r="M1000">
        <v>3</v>
      </c>
      <c r="N1000" t="s">
        <v>29</v>
      </c>
      <c r="O1000" t="s">
        <v>35</v>
      </c>
      <c r="P1000">
        <v>38</v>
      </c>
      <c r="Q1000" t="str">
        <f t="shared" si="79"/>
        <v>35 to 44 yrs</v>
      </c>
      <c r="R1000" t="s">
        <v>20</v>
      </c>
    </row>
    <row r="1001" spans="1:18">
      <c r="A1001">
        <v>12121</v>
      </c>
      <c r="B1001" t="s">
        <v>25</v>
      </c>
      <c r="C1001" t="str">
        <f t="shared" si="75"/>
        <v>Single</v>
      </c>
      <c r="D1001" t="s">
        <v>13</v>
      </c>
      <c r="E1001" t="str">
        <f t="shared" si="76"/>
        <v>Male</v>
      </c>
      <c r="F1001" s="3">
        <v>60000</v>
      </c>
      <c r="G1001" s="3" t="str">
        <f t="shared" si="77"/>
        <v>Middle Class</v>
      </c>
      <c r="H1001">
        <v>3</v>
      </c>
      <c r="I1001" t="s">
        <v>30</v>
      </c>
      <c r="J1001" t="s">
        <v>23</v>
      </c>
      <c r="K1001" t="s">
        <v>17</v>
      </c>
      <c r="L1001" t="str">
        <f t="shared" si="78"/>
        <v>Home Owner</v>
      </c>
      <c r="M1001">
        <v>2</v>
      </c>
      <c r="N1001" t="s">
        <v>33</v>
      </c>
      <c r="O1001" t="s">
        <v>35</v>
      </c>
      <c r="P1001">
        <v>53</v>
      </c>
      <c r="Q1001" t="str">
        <f t="shared" si="79"/>
        <v>45 to 54 yrs</v>
      </c>
      <c r="R1001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5579-CC16-4ACC-B1B4-57386CEF5A3B}">
  <dimension ref="A1:N1001"/>
  <sheetViews>
    <sheetView workbookViewId="0">
      <selection activeCell="A2" sqref="A2"/>
    </sheetView>
  </sheetViews>
  <sheetFormatPr defaultColWidth="11.85546875" defaultRowHeight="15"/>
  <cols>
    <col min="2" max="2" width="16" customWidth="1"/>
    <col min="5" max="5" width="18.28515625" bestFit="1" customWidth="1"/>
    <col min="7" max="7" width="17.7109375" bestFit="1" customWidth="1"/>
    <col min="8" max="8" width="14.140625" bestFit="1" customWidth="1"/>
    <col min="9" max="9" width="15.140625" bestFit="1" customWidth="1"/>
    <col min="10" max="10" width="6.85546875" customWidth="1"/>
    <col min="11" max="11" width="19.85546875" customWidth="1"/>
    <col min="12" max="12" width="14" bestFit="1" customWidth="1"/>
    <col min="13" max="13" width="14.140625" bestFit="1" customWidth="1"/>
    <col min="14" max="14" width="16.5703125" customWidth="1"/>
  </cols>
  <sheetData>
    <row r="1" spans="1:14">
      <c r="A1" s="1" t="s">
        <v>84</v>
      </c>
      <c r="B1" s="2" t="s">
        <v>37</v>
      </c>
      <c r="C1" s="2" t="s">
        <v>2</v>
      </c>
      <c r="D1" s="2" t="s">
        <v>3</v>
      </c>
      <c r="E1" s="2" t="s">
        <v>39</v>
      </c>
      <c r="F1" s="2" t="s">
        <v>4</v>
      </c>
      <c r="G1" s="2" t="s">
        <v>5</v>
      </c>
      <c r="H1" s="2" t="s">
        <v>6</v>
      </c>
      <c r="I1" s="2" t="s">
        <v>38</v>
      </c>
      <c r="J1" s="2" t="s">
        <v>8</v>
      </c>
      <c r="K1" s="2" t="s">
        <v>9</v>
      </c>
      <c r="L1" s="2" t="s">
        <v>10</v>
      </c>
      <c r="M1" s="2" t="s">
        <v>40</v>
      </c>
      <c r="N1" s="2" t="s">
        <v>12</v>
      </c>
    </row>
    <row r="2" spans="1:14">
      <c r="A2">
        <v>12496</v>
      </c>
      <c r="B2" t="s">
        <v>41</v>
      </c>
      <c r="C2" t="s">
        <v>43</v>
      </c>
      <c r="D2" s="3">
        <v>40000</v>
      </c>
      <c r="E2" s="3" t="s">
        <v>45</v>
      </c>
      <c r="F2">
        <v>1</v>
      </c>
      <c r="G2" t="s">
        <v>15</v>
      </c>
      <c r="H2" t="s">
        <v>16</v>
      </c>
      <c r="I2" t="s">
        <v>7</v>
      </c>
      <c r="J2">
        <v>0</v>
      </c>
      <c r="K2" t="s">
        <v>18</v>
      </c>
      <c r="L2" t="s">
        <v>19</v>
      </c>
      <c r="M2" t="s">
        <v>49</v>
      </c>
      <c r="N2" t="s">
        <v>20</v>
      </c>
    </row>
    <row r="3" spans="1:14">
      <c r="A3">
        <v>24107</v>
      </c>
      <c r="B3" t="s">
        <v>41</v>
      </c>
      <c r="C3" t="s">
        <v>44</v>
      </c>
      <c r="D3" s="3">
        <v>30000</v>
      </c>
      <c r="E3" s="3" t="s">
        <v>45</v>
      </c>
      <c r="F3">
        <v>3</v>
      </c>
      <c r="G3" t="s">
        <v>21</v>
      </c>
      <c r="H3" t="s">
        <v>22</v>
      </c>
      <c r="I3" t="s">
        <v>7</v>
      </c>
      <c r="J3">
        <v>1</v>
      </c>
      <c r="K3" t="s">
        <v>18</v>
      </c>
      <c r="L3" t="s">
        <v>19</v>
      </c>
      <c r="M3" t="s">
        <v>49</v>
      </c>
      <c r="N3" t="s">
        <v>20</v>
      </c>
    </row>
    <row r="4" spans="1:14">
      <c r="A4">
        <v>14177</v>
      </c>
      <c r="B4" t="s">
        <v>41</v>
      </c>
      <c r="C4" t="s">
        <v>44</v>
      </c>
      <c r="D4" s="3">
        <v>80000</v>
      </c>
      <c r="E4" s="3" t="s">
        <v>46</v>
      </c>
      <c r="F4">
        <v>5</v>
      </c>
      <c r="G4" t="s">
        <v>21</v>
      </c>
      <c r="H4" t="s">
        <v>23</v>
      </c>
      <c r="I4" t="s">
        <v>48</v>
      </c>
      <c r="J4">
        <v>2</v>
      </c>
      <c r="K4" t="s">
        <v>24</v>
      </c>
      <c r="L4" t="s">
        <v>19</v>
      </c>
      <c r="M4" t="s">
        <v>50</v>
      </c>
      <c r="N4" t="s">
        <v>20</v>
      </c>
    </row>
    <row r="5" spans="1:14">
      <c r="A5">
        <v>24381</v>
      </c>
      <c r="B5" t="s">
        <v>42</v>
      </c>
      <c r="C5" t="s">
        <v>44</v>
      </c>
      <c r="D5" s="3">
        <v>70000</v>
      </c>
      <c r="E5" s="3" t="s">
        <v>46</v>
      </c>
      <c r="F5">
        <v>0</v>
      </c>
      <c r="G5" t="s">
        <v>15</v>
      </c>
      <c r="H5" t="s">
        <v>23</v>
      </c>
      <c r="I5" t="s">
        <v>7</v>
      </c>
      <c r="J5">
        <v>1</v>
      </c>
      <c r="K5" t="s">
        <v>26</v>
      </c>
      <c r="L5" t="s">
        <v>27</v>
      </c>
      <c r="M5" t="s">
        <v>49</v>
      </c>
      <c r="N5" t="s">
        <v>17</v>
      </c>
    </row>
    <row r="6" spans="1:14">
      <c r="A6">
        <v>25597</v>
      </c>
      <c r="B6" t="s">
        <v>42</v>
      </c>
      <c r="C6" t="s">
        <v>44</v>
      </c>
      <c r="D6" s="3">
        <v>30000</v>
      </c>
      <c r="E6" s="3" t="s">
        <v>45</v>
      </c>
      <c r="F6">
        <v>0</v>
      </c>
      <c r="G6" t="s">
        <v>15</v>
      </c>
      <c r="H6" t="s">
        <v>22</v>
      </c>
      <c r="I6" t="s">
        <v>48</v>
      </c>
      <c r="J6">
        <v>0</v>
      </c>
      <c r="K6" t="s">
        <v>18</v>
      </c>
      <c r="L6" t="s">
        <v>19</v>
      </c>
      <c r="M6" t="s">
        <v>49</v>
      </c>
      <c r="N6" t="s">
        <v>17</v>
      </c>
    </row>
    <row r="7" spans="1:14">
      <c r="A7">
        <v>13507</v>
      </c>
      <c r="B7" t="s">
        <v>41</v>
      </c>
      <c r="C7" t="s">
        <v>43</v>
      </c>
      <c r="D7" s="3">
        <v>10000</v>
      </c>
      <c r="E7" s="3" t="s">
        <v>45</v>
      </c>
      <c r="F7">
        <v>2</v>
      </c>
      <c r="G7" t="s">
        <v>21</v>
      </c>
      <c r="H7" t="s">
        <v>28</v>
      </c>
      <c r="I7" t="s">
        <v>7</v>
      </c>
      <c r="J7">
        <v>0</v>
      </c>
      <c r="K7" t="s">
        <v>29</v>
      </c>
      <c r="L7" t="s">
        <v>19</v>
      </c>
      <c r="M7" t="s">
        <v>51</v>
      </c>
      <c r="N7" t="s">
        <v>20</v>
      </c>
    </row>
    <row r="8" spans="1:14">
      <c r="A8">
        <v>27974</v>
      </c>
      <c r="B8" t="s">
        <v>42</v>
      </c>
      <c r="C8" t="s">
        <v>44</v>
      </c>
      <c r="D8" s="3">
        <v>160000</v>
      </c>
      <c r="E8" s="3" t="s">
        <v>47</v>
      </c>
      <c r="F8">
        <v>2</v>
      </c>
      <c r="G8" t="s">
        <v>30</v>
      </c>
      <c r="H8" t="s">
        <v>31</v>
      </c>
      <c r="I8" t="s">
        <v>7</v>
      </c>
      <c r="J8">
        <v>4</v>
      </c>
      <c r="K8" t="s">
        <v>18</v>
      </c>
      <c r="L8" t="s">
        <v>27</v>
      </c>
      <c r="M8" t="s">
        <v>52</v>
      </c>
      <c r="N8" t="s">
        <v>17</v>
      </c>
    </row>
    <row r="9" spans="1:14">
      <c r="A9">
        <v>19364</v>
      </c>
      <c r="B9" t="s">
        <v>41</v>
      </c>
      <c r="C9" t="s">
        <v>44</v>
      </c>
      <c r="D9" s="3">
        <v>40000</v>
      </c>
      <c r="E9" s="3" t="s">
        <v>45</v>
      </c>
      <c r="F9">
        <v>1</v>
      </c>
      <c r="G9" t="s">
        <v>15</v>
      </c>
      <c r="H9" t="s">
        <v>16</v>
      </c>
      <c r="I9" t="s">
        <v>7</v>
      </c>
      <c r="J9">
        <v>0</v>
      </c>
      <c r="K9" t="s">
        <v>18</v>
      </c>
      <c r="L9" t="s">
        <v>19</v>
      </c>
      <c r="M9" t="s">
        <v>49</v>
      </c>
      <c r="N9" t="s">
        <v>17</v>
      </c>
    </row>
    <row r="10" spans="1:14">
      <c r="A10">
        <v>22155</v>
      </c>
      <c r="B10" t="s">
        <v>41</v>
      </c>
      <c r="C10" t="s">
        <v>44</v>
      </c>
      <c r="D10" s="3">
        <v>20000</v>
      </c>
      <c r="E10" s="3" t="s">
        <v>45</v>
      </c>
      <c r="F10">
        <v>2</v>
      </c>
      <c r="G10" t="s">
        <v>32</v>
      </c>
      <c r="H10" t="s">
        <v>22</v>
      </c>
      <c r="I10" t="s">
        <v>7</v>
      </c>
      <c r="J10">
        <v>2</v>
      </c>
      <c r="K10" t="s">
        <v>26</v>
      </c>
      <c r="L10" t="s">
        <v>27</v>
      </c>
      <c r="M10" t="s">
        <v>50</v>
      </c>
      <c r="N10" t="s">
        <v>20</v>
      </c>
    </row>
    <row r="11" spans="1:14">
      <c r="A11">
        <v>19280</v>
      </c>
      <c r="B11" t="s">
        <v>41</v>
      </c>
      <c r="C11" t="s">
        <v>44</v>
      </c>
      <c r="D11" s="3">
        <v>120000</v>
      </c>
      <c r="E11" s="3" t="s">
        <v>47</v>
      </c>
      <c r="F11">
        <v>2</v>
      </c>
      <c r="G11" t="s">
        <v>21</v>
      </c>
      <c r="H11" t="s">
        <v>28</v>
      </c>
      <c r="I11" t="s">
        <v>7</v>
      </c>
      <c r="J11">
        <v>1</v>
      </c>
      <c r="K11" t="s">
        <v>18</v>
      </c>
      <c r="L11" t="s">
        <v>19</v>
      </c>
      <c r="M11" t="s">
        <v>49</v>
      </c>
      <c r="N11" t="s">
        <v>17</v>
      </c>
    </row>
    <row r="12" spans="1:14">
      <c r="A12">
        <v>22173</v>
      </c>
      <c r="B12" t="s">
        <v>41</v>
      </c>
      <c r="C12" t="s">
        <v>43</v>
      </c>
      <c r="D12" s="3">
        <v>30000</v>
      </c>
      <c r="E12" s="3" t="s">
        <v>45</v>
      </c>
      <c r="F12">
        <v>3</v>
      </c>
      <c r="G12" t="s">
        <v>30</v>
      </c>
      <c r="H12" t="s">
        <v>16</v>
      </c>
      <c r="I12" t="s">
        <v>48</v>
      </c>
      <c r="J12">
        <v>2</v>
      </c>
      <c r="K12" t="s">
        <v>29</v>
      </c>
      <c r="L12" t="s">
        <v>27</v>
      </c>
      <c r="M12" t="s">
        <v>51</v>
      </c>
      <c r="N12" t="s">
        <v>17</v>
      </c>
    </row>
    <row r="13" spans="1:14">
      <c r="A13">
        <v>12697</v>
      </c>
      <c r="B13" t="s">
        <v>42</v>
      </c>
      <c r="C13" t="s">
        <v>43</v>
      </c>
      <c r="D13" s="3">
        <v>90000</v>
      </c>
      <c r="E13" s="3" t="s">
        <v>46</v>
      </c>
      <c r="F13">
        <v>0</v>
      </c>
      <c r="G13" t="s">
        <v>15</v>
      </c>
      <c r="H13" t="s">
        <v>23</v>
      </c>
      <c r="I13" t="s">
        <v>48</v>
      </c>
      <c r="J13">
        <v>4</v>
      </c>
      <c r="K13" t="s">
        <v>33</v>
      </c>
      <c r="L13" t="s">
        <v>27</v>
      </c>
      <c r="M13" t="s">
        <v>49</v>
      </c>
      <c r="N13" t="s">
        <v>20</v>
      </c>
    </row>
    <row r="14" spans="1:14">
      <c r="A14">
        <v>11434</v>
      </c>
      <c r="B14" t="s">
        <v>41</v>
      </c>
      <c r="C14" t="s">
        <v>44</v>
      </c>
      <c r="D14" s="3">
        <v>170000</v>
      </c>
      <c r="E14" s="3" t="s">
        <v>47</v>
      </c>
      <c r="F14">
        <v>5</v>
      </c>
      <c r="G14" t="s">
        <v>21</v>
      </c>
      <c r="H14" t="s">
        <v>23</v>
      </c>
      <c r="I14" t="s">
        <v>7</v>
      </c>
      <c r="J14">
        <v>0</v>
      </c>
      <c r="K14" t="s">
        <v>18</v>
      </c>
      <c r="L14" t="s">
        <v>19</v>
      </c>
      <c r="M14" t="s">
        <v>50</v>
      </c>
      <c r="N14" t="s">
        <v>20</v>
      </c>
    </row>
    <row r="15" spans="1:14">
      <c r="A15">
        <v>25323</v>
      </c>
      <c r="B15" t="s">
        <v>41</v>
      </c>
      <c r="C15" t="s">
        <v>44</v>
      </c>
      <c r="D15" s="3">
        <v>40000</v>
      </c>
      <c r="E15" s="3" t="s">
        <v>45</v>
      </c>
      <c r="F15">
        <v>2</v>
      </c>
      <c r="G15" t="s">
        <v>21</v>
      </c>
      <c r="H15" t="s">
        <v>22</v>
      </c>
      <c r="I15" t="s">
        <v>7</v>
      </c>
      <c r="J15">
        <v>1</v>
      </c>
      <c r="K15" t="s">
        <v>29</v>
      </c>
      <c r="L15" t="s">
        <v>19</v>
      </c>
      <c r="M15" t="s">
        <v>49</v>
      </c>
      <c r="N15" t="s">
        <v>17</v>
      </c>
    </row>
    <row r="16" spans="1:14">
      <c r="A16">
        <v>23542</v>
      </c>
      <c r="B16" t="s">
        <v>42</v>
      </c>
      <c r="C16" t="s">
        <v>44</v>
      </c>
      <c r="D16" s="3">
        <v>60000</v>
      </c>
      <c r="E16" s="3" t="s">
        <v>46</v>
      </c>
      <c r="F16">
        <v>1</v>
      </c>
      <c r="G16" t="s">
        <v>21</v>
      </c>
      <c r="H16" t="s">
        <v>16</v>
      </c>
      <c r="I16" t="s">
        <v>48</v>
      </c>
      <c r="J16">
        <v>1</v>
      </c>
      <c r="K16" t="s">
        <v>18</v>
      </c>
      <c r="L16" t="s">
        <v>27</v>
      </c>
      <c r="M16" t="s">
        <v>51</v>
      </c>
      <c r="N16" t="s">
        <v>17</v>
      </c>
    </row>
    <row r="17" spans="1:14">
      <c r="A17">
        <v>20870</v>
      </c>
      <c r="B17" t="s">
        <v>42</v>
      </c>
      <c r="C17" t="s">
        <v>43</v>
      </c>
      <c r="D17" s="3">
        <v>10000</v>
      </c>
      <c r="E17" s="3" t="s">
        <v>45</v>
      </c>
      <c r="F17">
        <v>2</v>
      </c>
      <c r="G17" t="s">
        <v>30</v>
      </c>
      <c r="H17" t="s">
        <v>28</v>
      </c>
      <c r="I17" t="s">
        <v>7</v>
      </c>
      <c r="J17">
        <v>1</v>
      </c>
      <c r="K17" t="s">
        <v>18</v>
      </c>
      <c r="L17" t="s">
        <v>19</v>
      </c>
      <c r="M17" t="s">
        <v>49</v>
      </c>
      <c r="N17" t="s">
        <v>17</v>
      </c>
    </row>
    <row r="18" spans="1:14">
      <c r="A18">
        <v>23316</v>
      </c>
      <c r="B18" t="s">
        <v>42</v>
      </c>
      <c r="C18" t="s">
        <v>44</v>
      </c>
      <c r="D18" s="3">
        <v>30000</v>
      </c>
      <c r="E18" s="3" t="s">
        <v>45</v>
      </c>
      <c r="F18">
        <v>3</v>
      </c>
      <c r="G18" t="s">
        <v>21</v>
      </c>
      <c r="H18" t="s">
        <v>22</v>
      </c>
      <c r="I18" t="s">
        <v>48</v>
      </c>
      <c r="J18">
        <v>2</v>
      </c>
      <c r="K18" t="s">
        <v>29</v>
      </c>
      <c r="L18" t="s">
        <v>27</v>
      </c>
      <c r="M18" t="s">
        <v>50</v>
      </c>
      <c r="N18" t="s">
        <v>17</v>
      </c>
    </row>
    <row r="19" spans="1:14">
      <c r="A19">
        <v>12610</v>
      </c>
      <c r="B19" t="s">
        <v>41</v>
      </c>
      <c r="C19" t="s">
        <v>43</v>
      </c>
      <c r="D19" s="3">
        <v>30000</v>
      </c>
      <c r="E19" s="3" t="s">
        <v>45</v>
      </c>
      <c r="F19">
        <v>1</v>
      </c>
      <c r="G19" t="s">
        <v>15</v>
      </c>
      <c r="H19" t="s">
        <v>22</v>
      </c>
      <c r="I19" t="s">
        <v>7</v>
      </c>
      <c r="J19">
        <v>0</v>
      </c>
      <c r="K19" t="s">
        <v>18</v>
      </c>
      <c r="L19" t="s">
        <v>19</v>
      </c>
      <c r="M19" t="s">
        <v>51</v>
      </c>
      <c r="N19" t="s">
        <v>20</v>
      </c>
    </row>
    <row r="20" spans="1:14">
      <c r="A20">
        <v>27183</v>
      </c>
      <c r="B20" t="s">
        <v>42</v>
      </c>
      <c r="C20" t="s">
        <v>44</v>
      </c>
      <c r="D20" s="3">
        <v>40000</v>
      </c>
      <c r="E20" s="3" t="s">
        <v>45</v>
      </c>
      <c r="F20">
        <v>2</v>
      </c>
      <c r="G20" t="s">
        <v>21</v>
      </c>
      <c r="H20" t="s">
        <v>22</v>
      </c>
      <c r="I20" t="s">
        <v>7</v>
      </c>
      <c r="J20">
        <v>1</v>
      </c>
      <c r="K20" t="s">
        <v>29</v>
      </c>
      <c r="L20" t="s">
        <v>19</v>
      </c>
      <c r="M20" t="s">
        <v>49</v>
      </c>
      <c r="N20" t="s">
        <v>17</v>
      </c>
    </row>
    <row r="21" spans="1:14">
      <c r="A21">
        <v>25940</v>
      </c>
      <c r="B21" t="s">
        <v>42</v>
      </c>
      <c r="C21" t="s">
        <v>44</v>
      </c>
      <c r="D21" s="3">
        <v>20000</v>
      </c>
      <c r="E21" s="3" t="s">
        <v>45</v>
      </c>
      <c r="F21">
        <v>2</v>
      </c>
      <c r="G21" t="s">
        <v>32</v>
      </c>
      <c r="H21" t="s">
        <v>22</v>
      </c>
      <c r="I21" t="s">
        <v>7</v>
      </c>
      <c r="J21">
        <v>2</v>
      </c>
      <c r="K21" t="s">
        <v>26</v>
      </c>
      <c r="L21" t="s">
        <v>27</v>
      </c>
      <c r="M21" t="s">
        <v>50</v>
      </c>
      <c r="N21" t="s">
        <v>17</v>
      </c>
    </row>
    <row r="22" spans="1:14">
      <c r="A22">
        <v>25598</v>
      </c>
      <c r="B22" t="s">
        <v>41</v>
      </c>
      <c r="C22" t="s">
        <v>43</v>
      </c>
      <c r="D22" s="3">
        <v>40000</v>
      </c>
      <c r="E22" s="3" t="s">
        <v>45</v>
      </c>
      <c r="F22">
        <v>0</v>
      </c>
      <c r="G22" t="s">
        <v>34</v>
      </c>
      <c r="H22" t="s">
        <v>22</v>
      </c>
      <c r="I22" t="s">
        <v>7</v>
      </c>
      <c r="J22">
        <v>0</v>
      </c>
      <c r="K22" t="s">
        <v>18</v>
      </c>
      <c r="L22" t="s">
        <v>19</v>
      </c>
      <c r="M22" t="s">
        <v>49</v>
      </c>
      <c r="N22" t="s">
        <v>17</v>
      </c>
    </row>
    <row r="23" spans="1:14">
      <c r="A23">
        <v>21564</v>
      </c>
      <c r="B23" t="s">
        <v>42</v>
      </c>
      <c r="C23" t="s">
        <v>43</v>
      </c>
      <c r="D23" s="3">
        <v>80000</v>
      </c>
      <c r="E23" s="3" t="s">
        <v>46</v>
      </c>
      <c r="F23">
        <v>0</v>
      </c>
      <c r="G23" t="s">
        <v>15</v>
      </c>
      <c r="H23" t="s">
        <v>23</v>
      </c>
      <c r="I23" t="s">
        <v>7</v>
      </c>
      <c r="J23">
        <v>4</v>
      </c>
      <c r="K23" t="s">
        <v>33</v>
      </c>
      <c r="L23" t="s">
        <v>27</v>
      </c>
      <c r="M23" t="s">
        <v>49</v>
      </c>
      <c r="N23" t="s">
        <v>20</v>
      </c>
    </row>
    <row r="24" spans="1:14">
      <c r="A24">
        <v>19193</v>
      </c>
      <c r="B24" t="s">
        <v>42</v>
      </c>
      <c r="C24" t="s">
        <v>44</v>
      </c>
      <c r="D24" s="3">
        <v>40000</v>
      </c>
      <c r="E24" s="3" t="s">
        <v>45</v>
      </c>
      <c r="F24">
        <v>2</v>
      </c>
      <c r="G24" t="s">
        <v>21</v>
      </c>
      <c r="H24" t="s">
        <v>22</v>
      </c>
      <c r="I24" t="s">
        <v>7</v>
      </c>
      <c r="J24">
        <v>0</v>
      </c>
      <c r="K24" t="s">
        <v>29</v>
      </c>
      <c r="L24" t="s">
        <v>19</v>
      </c>
      <c r="M24" t="s">
        <v>49</v>
      </c>
      <c r="N24" t="s">
        <v>17</v>
      </c>
    </row>
    <row r="25" spans="1:14">
      <c r="A25">
        <v>26412</v>
      </c>
      <c r="B25" t="s">
        <v>41</v>
      </c>
      <c r="C25" t="s">
        <v>43</v>
      </c>
      <c r="D25" s="3">
        <v>80000</v>
      </c>
      <c r="E25" s="3" t="s">
        <v>46</v>
      </c>
      <c r="F25">
        <v>5</v>
      </c>
      <c r="G25" t="s">
        <v>30</v>
      </c>
      <c r="H25" t="s">
        <v>31</v>
      </c>
      <c r="I25" t="s">
        <v>48</v>
      </c>
      <c r="J25">
        <v>3</v>
      </c>
      <c r="K25" t="s">
        <v>26</v>
      </c>
      <c r="L25" t="s">
        <v>19</v>
      </c>
      <c r="M25" t="s">
        <v>50</v>
      </c>
      <c r="N25" t="s">
        <v>20</v>
      </c>
    </row>
    <row r="26" spans="1:14">
      <c r="A26">
        <v>27184</v>
      </c>
      <c r="B26" t="s">
        <v>42</v>
      </c>
      <c r="C26" t="s">
        <v>44</v>
      </c>
      <c r="D26" s="3">
        <v>40000</v>
      </c>
      <c r="E26" s="3" t="s">
        <v>45</v>
      </c>
      <c r="F26">
        <v>2</v>
      </c>
      <c r="G26" t="s">
        <v>21</v>
      </c>
      <c r="H26" t="s">
        <v>22</v>
      </c>
      <c r="I26" t="s">
        <v>48</v>
      </c>
      <c r="J26">
        <v>1</v>
      </c>
      <c r="K26" t="s">
        <v>18</v>
      </c>
      <c r="L26" t="s">
        <v>19</v>
      </c>
      <c r="M26" t="s">
        <v>52</v>
      </c>
      <c r="N26" t="s">
        <v>20</v>
      </c>
    </row>
    <row r="27" spans="1:14">
      <c r="A27">
        <v>12590</v>
      </c>
      <c r="B27" t="s">
        <v>42</v>
      </c>
      <c r="C27" t="s">
        <v>44</v>
      </c>
      <c r="D27" s="3">
        <v>30000</v>
      </c>
      <c r="E27" s="3" t="s">
        <v>45</v>
      </c>
      <c r="F27">
        <v>1</v>
      </c>
      <c r="G27" t="s">
        <v>15</v>
      </c>
      <c r="H27" t="s">
        <v>22</v>
      </c>
      <c r="I27" t="s">
        <v>7</v>
      </c>
      <c r="J27">
        <v>0</v>
      </c>
      <c r="K27" t="s">
        <v>18</v>
      </c>
      <c r="L27" t="s">
        <v>19</v>
      </c>
      <c r="M27" t="s">
        <v>50</v>
      </c>
      <c r="N27" t="s">
        <v>20</v>
      </c>
    </row>
    <row r="28" spans="1:14">
      <c r="A28">
        <v>17841</v>
      </c>
      <c r="B28" t="s">
        <v>42</v>
      </c>
      <c r="C28" t="s">
        <v>44</v>
      </c>
      <c r="D28" s="3">
        <v>30000</v>
      </c>
      <c r="E28" s="3" t="s">
        <v>45</v>
      </c>
      <c r="F28">
        <v>0</v>
      </c>
      <c r="G28" t="s">
        <v>21</v>
      </c>
      <c r="H28" t="s">
        <v>22</v>
      </c>
      <c r="I28" t="s">
        <v>48</v>
      </c>
      <c r="J28">
        <v>1</v>
      </c>
      <c r="K28" t="s">
        <v>18</v>
      </c>
      <c r="L28" t="s">
        <v>19</v>
      </c>
      <c r="M28" t="s">
        <v>52</v>
      </c>
      <c r="N28" t="s">
        <v>17</v>
      </c>
    </row>
    <row r="29" spans="1:14">
      <c r="A29">
        <v>18283</v>
      </c>
      <c r="B29" t="s">
        <v>42</v>
      </c>
      <c r="C29" t="s">
        <v>43</v>
      </c>
      <c r="D29" s="3">
        <v>100000</v>
      </c>
      <c r="E29" s="3" t="s">
        <v>46</v>
      </c>
      <c r="F29">
        <v>0</v>
      </c>
      <c r="G29" t="s">
        <v>15</v>
      </c>
      <c r="H29" t="s">
        <v>23</v>
      </c>
      <c r="I29" t="s">
        <v>48</v>
      </c>
      <c r="J29">
        <v>1</v>
      </c>
      <c r="K29" t="s">
        <v>26</v>
      </c>
      <c r="L29" t="s">
        <v>27</v>
      </c>
      <c r="M29" t="s">
        <v>49</v>
      </c>
      <c r="N29" t="s">
        <v>20</v>
      </c>
    </row>
    <row r="30" spans="1:14">
      <c r="A30">
        <v>18299</v>
      </c>
      <c r="B30" t="s">
        <v>41</v>
      </c>
      <c r="C30" t="s">
        <v>44</v>
      </c>
      <c r="D30" s="3">
        <v>70000</v>
      </c>
      <c r="E30" s="3" t="s">
        <v>46</v>
      </c>
      <c r="F30">
        <v>5</v>
      </c>
      <c r="G30" t="s">
        <v>21</v>
      </c>
      <c r="H30" t="s">
        <v>16</v>
      </c>
      <c r="I30" t="s">
        <v>7</v>
      </c>
      <c r="J30">
        <v>2</v>
      </c>
      <c r="K30" t="s">
        <v>26</v>
      </c>
      <c r="L30" t="s">
        <v>27</v>
      </c>
      <c r="M30" t="s">
        <v>49</v>
      </c>
      <c r="N30" t="s">
        <v>20</v>
      </c>
    </row>
    <row r="31" spans="1:14">
      <c r="A31">
        <v>16466</v>
      </c>
      <c r="B31" t="s">
        <v>42</v>
      </c>
      <c r="C31" t="s">
        <v>43</v>
      </c>
      <c r="D31" s="3">
        <v>20000</v>
      </c>
      <c r="E31" s="3" t="s">
        <v>45</v>
      </c>
      <c r="F31">
        <v>0</v>
      </c>
      <c r="G31" t="s">
        <v>32</v>
      </c>
      <c r="H31" t="s">
        <v>28</v>
      </c>
      <c r="I31" t="s">
        <v>48</v>
      </c>
      <c r="J31">
        <v>2</v>
      </c>
      <c r="K31" t="s">
        <v>18</v>
      </c>
      <c r="L31" t="s">
        <v>19</v>
      </c>
      <c r="M31" t="s">
        <v>52</v>
      </c>
      <c r="N31" t="s">
        <v>17</v>
      </c>
    </row>
    <row r="32" spans="1:14">
      <c r="A32">
        <v>19273</v>
      </c>
      <c r="B32" t="s">
        <v>41</v>
      </c>
      <c r="C32" t="s">
        <v>43</v>
      </c>
      <c r="D32" s="3">
        <v>20000</v>
      </c>
      <c r="E32" s="3" t="s">
        <v>45</v>
      </c>
      <c r="F32">
        <v>2</v>
      </c>
      <c r="G32" t="s">
        <v>21</v>
      </c>
      <c r="H32" t="s">
        <v>28</v>
      </c>
      <c r="I32" t="s">
        <v>7</v>
      </c>
      <c r="J32">
        <v>0</v>
      </c>
      <c r="K32" t="s">
        <v>18</v>
      </c>
      <c r="L32" t="s">
        <v>19</v>
      </c>
      <c r="M32" t="s">
        <v>50</v>
      </c>
      <c r="N32" t="s">
        <v>20</v>
      </c>
    </row>
    <row r="33" spans="1:14">
      <c r="A33">
        <v>22400</v>
      </c>
      <c r="B33" t="s">
        <v>41</v>
      </c>
      <c r="C33" t="s">
        <v>44</v>
      </c>
      <c r="D33" s="3">
        <v>10000</v>
      </c>
      <c r="E33" s="3" t="s">
        <v>45</v>
      </c>
      <c r="F33">
        <v>0</v>
      </c>
      <c r="G33" t="s">
        <v>21</v>
      </c>
      <c r="H33" t="s">
        <v>28</v>
      </c>
      <c r="I33" t="s">
        <v>48</v>
      </c>
      <c r="J33">
        <v>1</v>
      </c>
      <c r="K33" t="s">
        <v>18</v>
      </c>
      <c r="L33" t="s">
        <v>27</v>
      </c>
      <c r="M33" t="s">
        <v>52</v>
      </c>
      <c r="N33" t="s">
        <v>17</v>
      </c>
    </row>
    <row r="34" spans="1:14">
      <c r="A34">
        <v>20942</v>
      </c>
      <c r="B34" t="s">
        <v>42</v>
      </c>
      <c r="C34" t="s">
        <v>43</v>
      </c>
      <c r="D34" s="3">
        <v>20000</v>
      </c>
      <c r="E34" s="3" t="s">
        <v>45</v>
      </c>
      <c r="F34">
        <v>0</v>
      </c>
      <c r="G34" t="s">
        <v>30</v>
      </c>
      <c r="H34" t="s">
        <v>28</v>
      </c>
      <c r="I34" t="s">
        <v>48</v>
      </c>
      <c r="J34">
        <v>1</v>
      </c>
      <c r="K34" t="s">
        <v>26</v>
      </c>
      <c r="L34" t="s">
        <v>19</v>
      </c>
      <c r="M34" t="s">
        <v>52</v>
      </c>
      <c r="N34" t="s">
        <v>20</v>
      </c>
    </row>
    <row r="35" spans="1:14">
      <c r="A35">
        <v>18484</v>
      </c>
      <c r="B35" t="s">
        <v>42</v>
      </c>
      <c r="C35" t="s">
        <v>44</v>
      </c>
      <c r="D35" s="3">
        <v>80000</v>
      </c>
      <c r="E35" s="3" t="s">
        <v>46</v>
      </c>
      <c r="F35">
        <v>2</v>
      </c>
      <c r="G35" t="s">
        <v>30</v>
      </c>
      <c r="H35" t="s">
        <v>16</v>
      </c>
      <c r="I35" t="s">
        <v>48</v>
      </c>
      <c r="J35">
        <v>2</v>
      </c>
      <c r="K35" t="s">
        <v>29</v>
      </c>
      <c r="L35" t="s">
        <v>27</v>
      </c>
      <c r="M35" t="s">
        <v>51</v>
      </c>
      <c r="N35" t="s">
        <v>17</v>
      </c>
    </row>
    <row r="36" spans="1:14">
      <c r="A36">
        <v>12291</v>
      </c>
      <c r="B36" t="s">
        <v>42</v>
      </c>
      <c r="C36" t="s">
        <v>44</v>
      </c>
      <c r="D36" s="3">
        <v>90000</v>
      </c>
      <c r="E36" s="3" t="s">
        <v>46</v>
      </c>
      <c r="F36">
        <v>5</v>
      </c>
      <c r="G36" t="s">
        <v>21</v>
      </c>
      <c r="H36" t="s">
        <v>23</v>
      </c>
      <c r="I36" t="s">
        <v>48</v>
      </c>
      <c r="J36">
        <v>2</v>
      </c>
      <c r="K36" t="s">
        <v>24</v>
      </c>
      <c r="L36" t="s">
        <v>19</v>
      </c>
      <c r="M36" t="s">
        <v>50</v>
      </c>
      <c r="N36" t="s">
        <v>17</v>
      </c>
    </row>
    <row r="37" spans="1:14">
      <c r="A37">
        <v>28380</v>
      </c>
      <c r="B37" t="s">
        <v>42</v>
      </c>
      <c r="C37" t="s">
        <v>43</v>
      </c>
      <c r="D37" s="3">
        <v>10000</v>
      </c>
      <c r="E37" s="3" t="s">
        <v>45</v>
      </c>
      <c r="F37">
        <v>5</v>
      </c>
      <c r="G37" t="s">
        <v>32</v>
      </c>
      <c r="H37" t="s">
        <v>28</v>
      </c>
      <c r="I37" t="s">
        <v>48</v>
      </c>
      <c r="J37">
        <v>2</v>
      </c>
      <c r="K37" t="s">
        <v>18</v>
      </c>
      <c r="L37" t="s">
        <v>19</v>
      </c>
      <c r="M37" t="s">
        <v>49</v>
      </c>
      <c r="N37" t="s">
        <v>20</v>
      </c>
    </row>
    <row r="38" spans="1:14">
      <c r="A38">
        <v>17891</v>
      </c>
      <c r="B38" t="s">
        <v>41</v>
      </c>
      <c r="C38" t="s">
        <v>43</v>
      </c>
      <c r="D38" s="3">
        <v>10000</v>
      </c>
      <c r="E38" s="3" t="s">
        <v>45</v>
      </c>
      <c r="F38">
        <v>2</v>
      </c>
      <c r="G38" t="s">
        <v>21</v>
      </c>
      <c r="H38" t="s">
        <v>28</v>
      </c>
      <c r="I38" t="s">
        <v>7</v>
      </c>
      <c r="J38">
        <v>1</v>
      </c>
      <c r="K38" t="s">
        <v>18</v>
      </c>
      <c r="L38" t="s">
        <v>19</v>
      </c>
      <c r="M38" t="s">
        <v>51</v>
      </c>
      <c r="N38" t="s">
        <v>17</v>
      </c>
    </row>
    <row r="39" spans="1:14">
      <c r="A39">
        <v>27832</v>
      </c>
      <c r="B39" t="s">
        <v>42</v>
      </c>
      <c r="C39" t="s">
        <v>43</v>
      </c>
      <c r="D39" s="3">
        <v>30000</v>
      </c>
      <c r="E39" s="3" t="s">
        <v>45</v>
      </c>
      <c r="F39">
        <v>0</v>
      </c>
      <c r="G39" t="s">
        <v>21</v>
      </c>
      <c r="H39" t="s">
        <v>22</v>
      </c>
      <c r="I39" t="s">
        <v>48</v>
      </c>
      <c r="J39">
        <v>1</v>
      </c>
      <c r="K39" t="s">
        <v>24</v>
      </c>
      <c r="L39" t="s">
        <v>19</v>
      </c>
      <c r="M39" t="s">
        <v>52</v>
      </c>
      <c r="N39" t="s">
        <v>20</v>
      </c>
    </row>
    <row r="40" spans="1:14">
      <c r="A40">
        <v>26863</v>
      </c>
      <c r="B40" t="s">
        <v>42</v>
      </c>
      <c r="C40" t="s">
        <v>44</v>
      </c>
      <c r="D40" s="3">
        <v>20000</v>
      </c>
      <c r="E40" s="3" t="s">
        <v>45</v>
      </c>
      <c r="F40">
        <v>0</v>
      </c>
      <c r="G40" t="s">
        <v>30</v>
      </c>
      <c r="H40" t="s">
        <v>28</v>
      </c>
      <c r="I40" t="s">
        <v>48</v>
      </c>
      <c r="J40">
        <v>1</v>
      </c>
      <c r="K40" t="s">
        <v>24</v>
      </c>
      <c r="L40" t="s">
        <v>19</v>
      </c>
      <c r="M40" t="s">
        <v>52</v>
      </c>
      <c r="N40" t="s">
        <v>20</v>
      </c>
    </row>
    <row r="41" spans="1:14">
      <c r="A41">
        <v>16259</v>
      </c>
      <c r="B41" t="s">
        <v>42</v>
      </c>
      <c r="C41" t="s">
        <v>43</v>
      </c>
      <c r="D41" s="3">
        <v>10000</v>
      </c>
      <c r="E41" s="3" t="s">
        <v>45</v>
      </c>
      <c r="F41">
        <v>4</v>
      </c>
      <c r="G41" t="s">
        <v>32</v>
      </c>
      <c r="H41" t="s">
        <v>28</v>
      </c>
      <c r="I41" t="s">
        <v>7</v>
      </c>
      <c r="J41">
        <v>2</v>
      </c>
      <c r="K41" t="s">
        <v>18</v>
      </c>
      <c r="L41" t="s">
        <v>19</v>
      </c>
      <c r="M41" t="s">
        <v>49</v>
      </c>
      <c r="N41" t="s">
        <v>17</v>
      </c>
    </row>
    <row r="42" spans="1:14">
      <c r="A42">
        <v>27803</v>
      </c>
      <c r="B42" t="s">
        <v>42</v>
      </c>
      <c r="C42" t="s">
        <v>43</v>
      </c>
      <c r="D42" s="3">
        <v>30000</v>
      </c>
      <c r="E42" s="3" t="s">
        <v>45</v>
      </c>
      <c r="F42">
        <v>2</v>
      </c>
      <c r="G42" t="s">
        <v>21</v>
      </c>
      <c r="H42" t="s">
        <v>22</v>
      </c>
      <c r="I42" t="s">
        <v>48</v>
      </c>
      <c r="J42">
        <v>0</v>
      </c>
      <c r="K42" t="s">
        <v>18</v>
      </c>
      <c r="L42" t="s">
        <v>19</v>
      </c>
      <c r="M42" t="s">
        <v>49</v>
      </c>
      <c r="N42" t="s">
        <v>20</v>
      </c>
    </row>
    <row r="43" spans="1:14">
      <c r="A43">
        <v>14347</v>
      </c>
      <c r="B43" t="s">
        <v>42</v>
      </c>
      <c r="C43" t="s">
        <v>43</v>
      </c>
      <c r="D43" s="3">
        <v>40000</v>
      </c>
      <c r="E43" s="3" t="s">
        <v>45</v>
      </c>
      <c r="F43">
        <v>2</v>
      </c>
      <c r="G43" t="s">
        <v>15</v>
      </c>
      <c r="H43" t="s">
        <v>31</v>
      </c>
      <c r="I43" t="s">
        <v>7</v>
      </c>
      <c r="J43">
        <v>2</v>
      </c>
      <c r="K43" t="s">
        <v>26</v>
      </c>
      <c r="L43" t="s">
        <v>27</v>
      </c>
      <c r="M43" t="s">
        <v>53</v>
      </c>
      <c r="N43" t="s">
        <v>17</v>
      </c>
    </row>
    <row r="44" spans="1:14">
      <c r="A44">
        <v>17703</v>
      </c>
      <c r="B44" t="s">
        <v>41</v>
      </c>
      <c r="C44" t="s">
        <v>43</v>
      </c>
      <c r="D44" s="3">
        <v>10000</v>
      </c>
      <c r="E44" s="3" t="s">
        <v>45</v>
      </c>
      <c r="F44">
        <v>1</v>
      </c>
      <c r="G44" t="s">
        <v>34</v>
      </c>
      <c r="H44" t="s">
        <v>28</v>
      </c>
      <c r="I44" t="s">
        <v>7</v>
      </c>
      <c r="J44">
        <v>0</v>
      </c>
      <c r="K44" t="s">
        <v>18</v>
      </c>
      <c r="L44" t="s">
        <v>19</v>
      </c>
      <c r="M44" t="s">
        <v>49</v>
      </c>
      <c r="N44" t="s">
        <v>20</v>
      </c>
    </row>
    <row r="45" spans="1:14">
      <c r="A45">
        <v>17185</v>
      </c>
      <c r="B45" t="s">
        <v>41</v>
      </c>
      <c r="C45" t="s">
        <v>43</v>
      </c>
      <c r="D45" s="3">
        <v>170000</v>
      </c>
      <c r="E45" s="3" t="s">
        <v>47</v>
      </c>
      <c r="F45">
        <v>4</v>
      </c>
      <c r="G45" t="s">
        <v>21</v>
      </c>
      <c r="H45" t="s">
        <v>23</v>
      </c>
      <c r="I45" t="s">
        <v>48</v>
      </c>
      <c r="J45">
        <v>3</v>
      </c>
      <c r="K45" t="s">
        <v>26</v>
      </c>
      <c r="L45" t="s">
        <v>19</v>
      </c>
      <c r="M45" t="s">
        <v>51</v>
      </c>
      <c r="N45" t="s">
        <v>17</v>
      </c>
    </row>
    <row r="46" spans="1:14">
      <c r="A46">
        <v>29380</v>
      </c>
      <c r="B46" t="s">
        <v>41</v>
      </c>
      <c r="C46" t="s">
        <v>43</v>
      </c>
      <c r="D46" s="3">
        <v>20000</v>
      </c>
      <c r="E46" s="3" t="s">
        <v>45</v>
      </c>
      <c r="F46">
        <v>3</v>
      </c>
      <c r="G46" t="s">
        <v>30</v>
      </c>
      <c r="H46" t="s">
        <v>28</v>
      </c>
      <c r="I46" t="s">
        <v>7</v>
      </c>
      <c r="J46">
        <v>0</v>
      </c>
      <c r="K46" t="s">
        <v>18</v>
      </c>
      <c r="L46" t="s">
        <v>19</v>
      </c>
      <c r="M46" t="s">
        <v>49</v>
      </c>
      <c r="N46" t="s">
        <v>17</v>
      </c>
    </row>
    <row r="47" spans="1:14">
      <c r="A47">
        <v>23986</v>
      </c>
      <c r="B47" t="s">
        <v>41</v>
      </c>
      <c r="C47" t="s">
        <v>43</v>
      </c>
      <c r="D47" s="3">
        <v>20000</v>
      </c>
      <c r="E47" s="3" t="s">
        <v>45</v>
      </c>
      <c r="F47">
        <v>1</v>
      </c>
      <c r="G47" t="s">
        <v>15</v>
      </c>
      <c r="H47" t="s">
        <v>22</v>
      </c>
      <c r="I47" t="s">
        <v>7</v>
      </c>
      <c r="J47">
        <v>0</v>
      </c>
      <c r="K47" t="s">
        <v>18</v>
      </c>
      <c r="L47" t="s">
        <v>19</v>
      </c>
      <c r="M47" t="s">
        <v>53</v>
      </c>
      <c r="N47" t="s">
        <v>17</v>
      </c>
    </row>
    <row r="48" spans="1:14">
      <c r="A48">
        <v>24466</v>
      </c>
      <c r="B48" t="s">
        <v>41</v>
      </c>
      <c r="C48" t="s">
        <v>43</v>
      </c>
      <c r="D48" s="3">
        <v>60000</v>
      </c>
      <c r="E48" s="3" t="s">
        <v>46</v>
      </c>
      <c r="F48">
        <v>1</v>
      </c>
      <c r="G48" t="s">
        <v>21</v>
      </c>
      <c r="H48" t="s">
        <v>16</v>
      </c>
      <c r="I48" t="s">
        <v>7</v>
      </c>
      <c r="J48">
        <v>1</v>
      </c>
      <c r="K48" t="s">
        <v>26</v>
      </c>
      <c r="L48" t="s">
        <v>27</v>
      </c>
      <c r="M48" t="s">
        <v>51</v>
      </c>
      <c r="N48" t="s">
        <v>17</v>
      </c>
    </row>
    <row r="49" spans="1:14">
      <c r="A49">
        <v>29097</v>
      </c>
      <c r="B49" t="s">
        <v>42</v>
      </c>
      <c r="C49" t="s">
        <v>43</v>
      </c>
      <c r="D49" s="3">
        <v>40000</v>
      </c>
      <c r="E49" s="3" t="s">
        <v>45</v>
      </c>
      <c r="F49">
        <v>2</v>
      </c>
      <c r="G49" t="s">
        <v>21</v>
      </c>
      <c r="H49" t="s">
        <v>16</v>
      </c>
      <c r="I49" t="s">
        <v>7</v>
      </c>
      <c r="J49">
        <v>2</v>
      </c>
      <c r="K49" t="s">
        <v>26</v>
      </c>
      <c r="L49" t="s">
        <v>27</v>
      </c>
      <c r="M49" t="s">
        <v>51</v>
      </c>
      <c r="N49" t="s">
        <v>17</v>
      </c>
    </row>
    <row r="50" spans="1:14">
      <c r="A50">
        <v>19487</v>
      </c>
      <c r="B50" t="s">
        <v>41</v>
      </c>
      <c r="C50" t="s">
        <v>44</v>
      </c>
      <c r="D50" s="3">
        <v>30000</v>
      </c>
      <c r="E50" s="3" t="s">
        <v>45</v>
      </c>
      <c r="F50">
        <v>2</v>
      </c>
      <c r="G50" t="s">
        <v>21</v>
      </c>
      <c r="H50" t="s">
        <v>22</v>
      </c>
      <c r="I50" t="s">
        <v>48</v>
      </c>
      <c r="J50">
        <v>2</v>
      </c>
      <c r="K50" t="s">
        <v>18</v>
      </c>
      <c r="L50" t="s">
        <v>19</v>
      </c>
      <c r="M50" t="s">
        <v>49</v>
      </c>
      <c r="N50" t="s">
        <v>20</v>
      </c>
    </row>
    <row r="51" spans="1:14">
      <c r="A51">
        <v>14939</v>
      </c>
      <c r="B51" t="s">
        <v>42</v>
      </c>
      <c r="C51" t="s">
        <v>44</v>
      </c>
      <c r="D51" s="3">
        <v>40000</v>
      </c>
      <c r="E51" s="3" t="s">
        <v>45</v>
      </c>
      <c r="F51">
        <v>0</v>
      </c>
      <c r="G51" t="s">
        <v>15</v>
      </c>
      <c r="H51" t="s">
        <v>22</v>
      </c>
      <c r="I51" t="s">
        <v>7</v>
      </c>
      <c r="J51">
        <v>0</v>
      </c>
      <c r="K51" t="s">
        <v>18</v>
      </c>
      <c r="L51" t="s">
        <v>19</v>
      </c>
      <c r="M51" t="s">
        <v>49</v>
      </c>
      <c r="N51" t="s">
        <v>17</v>
      </c>
    </row>
    <row r="52" spans="1:14">
      <c r="A52">
        <v>13826</v>
      </c>
      <c r="B52" t="s">
        <v>42</v>
      </c>
      <c r="C52" t="s">
        <v>43</v>
      </c>
      <c r="D52" s="3">
        <v>30000</v>
      </c>
      <c r="E52" s="3" t="s">
        <v>45</v>
      </c>
      <c r="F52">
        <v>0</v>
      </c>
      <c r="G52" t="s">
        <v>21</v>
      </c>
      <c r="H52" t="s">
        <v>22</v>
      </c>
      <c r="I52" t="s">
        <v>48</v>
      </c>
      <c r="J52">
        <v>1</v>
      </c>
      <c r="K52" t="s">
        <v>18</v>
      </c>
      <c r="L52" t="s">
        <v>19</v>
      </c>
      <c r="M52" t="s">
        <v>52</v>
      </c>
      <c r="N52" t="s">
        <v>20</v>
      </c>
    </row>
    <row r="53" spans="1:14">
      <c r="A53">
        <v>20619</v>
      </c>
      <c r="B53" t="s">
        <v>42</v>
      </c>
      <c r="C53" t="s">
        <v>44</v>
      </c>
      <c r="D53" s="3">
        <v>80000</v>
      </c>
      <c r="E53" s="3" t="s">
        <v>46</v>
      </c>
      <c r="F53">
        <v>0</v>
      </c>
      <c r="G53" t="s">
        <v>15</v>
      </c>
      <c r="H53" t="s">
        <v>23</v>
      </c>
      <c r="I53" t="s">
        <v>48</v>
      </c>
      <c r="J53">
        <v>4</v>
      </c>
      <c r="K53" t="s">
        <v>33</v>
      </c>
      <c r="L53" t="s">
        <v>27</v>
      </c>
      <c r="M53" t="s">
        <v>49</v>
      </c>
      <c r="N53" t="s">
        <v>20</v>
      </c>
    </row>
    <row r="54" spans="1:14">
      <c r="A54">
        <v>12558</v>
      </c>
      <c r="B54" t="s">
        <v>41</v>
      </c>
      <c r="C54" t="s">
        <v>43</v>
      </c>
      <c r="D54" s="3">
        <v>20000</v>
      </c>
      <c r="E54" s="3" t="s">
        <v>45</v>
      </c>
      <c r="F54">
        <v>1</v>
      </c>
      <c r="G54" t="s">
        <v>15</v>
      </c>
      <c r="H54" t="s">
        <v>22</v>
      </c>
      <c r="I54" t="s">
        <v>7</v>
      </c>
      <c r="J54">
        <v>0</v>
      </c>
      <c r="K54" t="s">
        <v>18</v>
      </c>
      <c r="L54" t="s">
        <v>19</v>
      </c>
      <c r="M54" t="s">
        <v>53</v>
      </c>
      <c r="N54" t="s">
        <v>20</v>
      </c>
    </row>
    <row r="55" spans="1:14">
      <c r="A55">
        <v>24871</v>
      </c>
      <c r="B55" t="s">
        <v>42</v>
      </c>
      <c r="C55" t="s">
        <v>43</v>
      </c>
      <c r="D55" s="3">
        <v>90000</v>
      </c>
      <c r="E55" s="3" t="s">
        <v>46</v>
      </c>
      <c r="F55">
        <v>4</v>
      </c>
      <c r="G55" t="s">
        <v>30</v>
      </c>
      <c r="H55" t="s">
        <v>31</v>
      </c>
      <c r="I55" t="s">
        <v>48</v>
      </c>
      <c r="J55">
        <v>3</v>
      </c>
      <c r="K55" t="s">
        <v>26</v>
      </c>
      <c r="L55" t="s">
        <v>19</v>
      </c>
      <c r="M55" t="s">
        <v>50</v>
      </c>
      <c r="N55" t="s">
        <v>20</v>
      </c>
    </row>
    <row r="56" spans="1:14">
      <c r="A56">
        <v>17319</v>
      </c>
      <c r="B56" t="s">
        <v>42</v>
      </c>
      <c r="C56" t="s">
        <v>43</v>
      </c>
      <c r="D56" s="3">
        <v>70000</v>
      </c>
      <c r="E56" s="3" t="s">
        <v>46</v>
      </c>
      <c r="F56">
        <v>0</v>
      </c>
      <c r="G56" t="s">
        <v>15</v>
      </c>
      <c r="H56" t="s">
        <v>23</v>
      </c>
      <c r="I56" t="s">
        <v>48</v>
      </c>
      <c r="J56">
        <v>1</v>
      </c>
      <c r="K56" t="s">
        <v>26</v>
      </c>
      <c r="L56" t="s">
        <v>27</v>
      </c>
      <c r="M56" t="s">
        <v>49</v>
      </c>
      <c r="N56" t="s">
        <v>20</v>
      </c>
    </row>
    <row r="57" spans="1:14">
      <c r="A57">
        <v>28906</v>
      </c>
      <c r="B57" t="s">
        <v>41</v>
      </c>
      <c r="C57" t="s">
        <v>44</v>
      </c>
      <c r="D57" s="3">
        <v>80000</v>
      </c>
      <c r="E57" s="3" t="s">
        <v>46</v>
      </c>
      <c r="F57">
        <v>4</v>
      </c>
      <c r="G57" t="s">
        <v>30</v>
      </c>
      <c r="H57" t="s">
        <v>23</v>
      </c>
      <c r="I57" t="s">
        <v>7</v>
      </c>
      <c r="J57">
        <v>2</v>
      </c>
      <c r="K57" t="s">
        <v>33</v>
      </c>
      <c r="L57" t="s">
        <v>19</v>
      </c>
      <c r="M57" t="s">
        <v>51</v>
      </c>
      <c r="N57" t="s">
        <v>20</v>
      </c>
    </row>
    <row r="58" spans="1:14">
      <c r="A58">
        <v>12808</v>
      </c>
      <c r="B58" t="s">
        <v>41</v>
      </c>
      <c r="C58" t="s">
        <v>44</v>
      </c>
      <c r="D58" s="3">
        <v>40000</v>
      </c>
      <c r="E58" s="3" t="s">
        <v>45</v>
      </c>
      <c r="F58">
        <v>0</v>
      </c>
      <c r="G58" t="s">
        <v>15</v>
      </c>
      <c r="H58" t="s">
        <v>22</v>
      </c>
      <c r="I58" t="s">
        <v>7</v>
      </c>
      <c r="J58">
        <v>0</v>
      </c>
      <c r="K58" t="s">
        <v>18</v>
      </c>
      <c r="L58" t="s">
        <v>19</v>
      </c>
      <c r="M58" t="s">
        <v>49</v>
      </c>
      <c r="N58" t="s">
        <v>17</v>
      </c>
    </row>
    <row r="59" spans="1:14">
      <c r="A59">
        <v>20567</v>
      </c>
      <c r="B59" t="s">
        <v>41</v>
      </c>
      <c r="C59" t="s">
        <v>44</v>
      </c>
      <c r="D59" s="3">
        <v>130000</v>
      </c>
      <c r="E59" s="3" t="s">
        <v>47</v>
      </c>
      <c r="F59">
        <v>4</v>
      </c>
      <c r="G59" t="s">
        <v>21</v>
      </c>
      <c r="H59" t="s">
        <v>23</v>
      </c>
      <c r="I59" t="s">
        <v>48</v>
      </c>
      <c r="J59">
        <v>4</v>
      </c>
      <c r="K59" t="s">
        <v>26</v>
      </c>
      <c r="L59" t="s">
        <v>19</v>
      </c>
      <c r="M59" t="s">
        <v>50</v>
      </c>
      <c r="N59" t="s">
        <v>17</v>
      </c>
    </row>
    <row r="60" spans="1:14">
      <c r="A60">
        <v>25502</v>
      </c>
      <c r="B60" t="s">
        <v>41</v>
      </c>
      <c r="C60" t="s">
        <v>43</v>
      </c>
      <c r="D60" s="3">
        <v>40000</v>
      </c>
      <c r="E60" s="3" t="s">
        <v>45</v>
      </c>
      <c r="F60">
        <v>1</v>
      </c>
      <c r="G60" t="s">
        <v>15</v>
      </c>
      <c r="H60" t="s">
        <v>16</v>
      </c>
      <c r="I60" t="s">
        <v>7</v>
      </c>
      <c r="J60">
        <v>0</v>
      </c>
      <c r="K60" t="s">
        <v>18</v>
      </c>
      <c r="L60" t="s">
        <v>19</v>
      </c>
      <c r="M60" t="s">
        <v>49</v>
      </c>
      <c r="N60" t="s">
        <v>17</v>
      </c>
    </row>
    <row r="61" spans="1:14">
      <c r="A61">
        <v>15580</v>
      </c>
      <c r="B61" t="s">
        <v>41</v>
      </c>
      <c r="C61" t="s">
        <v>44</v>
      </c>
      <c r="D61" s="3">
        <v>60000</v>
      </c>
      <c r="E61" s="3" t="s">
        <v>46</v>
      </c>
      <c r="F61">
        <v>2</v>
      </c>
      <c r="G61" t="s">
        <v>15</v>
      </c>
      <c r="H61" t="s">
        <v>23</v>
      </c>
      <c r="I61" t="s">
        <v>7</v>
      </c>
      <c r="J61">
        <v>1</v>
      </c>
      <c r="K61" t="s">
        <v>24</v>
      </c>
      <c r="L61" t="s">
        <v>27</v>
      </c>
      <c r="M61" t="s">
        <v>49</v>
      </c>
      <c r="N61" t="s">
        <v>17</v>
      </c>
    </row>
    <row r="62" spans="1:14">
      <c r="A62">
        <v>24185</v>
      </c>
      <c r="B62" t="s">
        <v>42</v>
      </c>
      <c r="C62" t="s">
        <v>43</v>
      </c>
      <c r="D62" s="3">
        <v>10000</v>
      </c>
      <c r="E62" s="3" t="s">
        <v>45</v>
      </c>
      <c r="F62">
        <v>1</v>
      </c>
      <c r="G62" t="s">
        <v>30</v>
      </c>
      <c r="H62" t="s">
        <v>28</v>
      </c>
      <c r="I62" t="s">
        <v>48</v>
      </c>
      <c r="J62">
        <v>1</v>
      </c>
      <c r="K62" t="s">
        <v>29</v>
      </c>
      <c r="L62" t="s">
        <v>19</v>
      </c>
      <c r="M62" t="s">
        <v>51</v>
      </c>
      <c r="N62" t="s">
        <v>20</v>
      </c>
    </row>
    <row r="63" spans="1:14">
      <c r="A63">
        <v>19291</v>
      </c>
      <c r="B63" t="s">
        <v>42</v>
      </c>
      <c r="C63" t="s">
        <v>43</v>
      </c>
      <c r="D63" s="3">
        <v>10000</v>
      </c>
      <c r="E63" s="3" t="s">
        <v>45</v>
      </c>
      <c r="F63">
        <v>2</v>
      </c>
      <c r="G63" t="s">
        <v>30</v>
      </c>
      <c r="H63" t="s">
        <v>28</v>
      </c>
      <c r="I63" t="s">
        <v>7</v>
      </c>
      <c r="J63">
        <v>0</v>
      </c>
      <c r="K63" t="s">
        <v>18</v>
      </c>
      <c r="L63" t="s">
        <v>19</v>
      </c>
      <c r="M63" t="s">
        <v>49</v>
      </c>
      <c r="N63" t="s">
        <v>20</v>
      </c>
    </row>
    <row r="64" spans="1:14">
      <c r="A64">
        <v>16713</v>
      </c>
      <c r="B64" t="s">
        <v>41</v>
      </c>
      <c r="C64" t="s">
        <v>44</v>
      </c>
      <c r="D64" s="3">
        <v>40000</v>
      </c>
      <c r="E64" s="3" t="s">
        <v>45</v>
      </c>
      <c r="F64">
        <v>2</v>
      </c>
      <c r="G64" t="s">
        <v>15</v>
      </c>
      <c r="H64" t="s">
        <v>31</v>
      </c>
      <c r="I64" t="s">
        <v>7</v>
      </c>
      <c r="J64">
        <v>1</v>
      </c>
      <c r="K64" t="s">
        <v>18</v>
      </c>
      <c r="L64" t="s">
        <v>27</v>
      </c>
      <c r="M64" t="s">
        <v>51</v>
      </c>
      <c r="N64" t="s">
        <v>17</v>
      </c>
    </row>
    <row r="65" spans="1:14">
      <c r="A65">
        <v>16185</v>
      </c>
      <c r="B65" t="s">
        <v>42</v>
      </c>
      <c r="C65" t="s">
        <v>44</v>
      </c>
      <c r="D65" s="3">
        <v>60000</v>
      </c>
      <c r="E65" s="3" t="s">
        <v>46</v>
      </c>
      <c r="F65">
        <v>4</v>
      </c>
      <c r="G65" t="s">
        <v>15</v>
      </c>
      <c r="H65" t="s">
        <v>23</v>
      </c>
      <c r="I65" t="s">
        <v>7</v>
      </c>
      <c r="J65">
        <v>3</v>
      </c>
      <c r="K65" t="s">
        <v>33</v>
      </c>
      <c r="L65" t="s">
        <v>27</v>
      </c>
      <c r="M65" t="s">
        <v>49</v>
      </c>
      <c r="N65" t="s">
        <v>20</v>
      </c>
    </row>
    <row r="66" spans="1:14">
      <c r="A66">
        <v>14927</v>
      </c>
      <c r="B66" t="s">
        <v>41</v>
      </c>
      <c r="C66" t="s">
        <v>43</v>
      </c>
      <c r="D66" s="3">
        <v>30000</v>
      </c>
      <c r="E66" s="3" t="s">
        <v>45</v>
      </c>
      <c r="F66">
        <v>1</v>
      </c>
      <c r="G66" t="s">
        <v>15</v>
      </c>
      <c r="H66" t="s">
        <v>22</v>
      </c>
      <c r="I66" t="s">
        <v>7</v>
      </c>
      <c r="J66">
        <v>0</v>
      </c>
      <c r="K66" t="s">
        <v>18</v>
      </c>
      <c r="L66" t="s">
        <v>19</v>
      </c>
      <c r="M66" t="s">
        <v>49</v>
      </c>
      <c r="N66" t="s">
        <v>17</v>
      </c>
    </row>
    <row r="67" spans="1:14">
      <c r="A67">
        <v>29337</v>
      </c>
      <c r="B67" t="s">
        <v>42</v>
      </c>
      <c r="C67" t="s">
        <v>44</v>
      </c>
      <c r="D67" s="3">
        <v>30000</v>
      </c>
      <c r="E67" s="3" t="s">
        <v>45</v>
      </c>
      <c r="F67">
        <v>2</v>
      </c>
      <c r="G67" t="s">
        <v>21</v>
      </c>
      <c r="H67" t="s">
        <v>22</v>
      </c>
      <c r="I67" t="s">
        <v>7</v>
      </c>
      <c r="J67">
        <v>2</v>
      </c>
      <c r="K67" t="s">
        <v>26</v>
      </c>
      <c r="L67" t="s">
        <v>27</v>
      </c>
      <c r="M67" t="s">
        <v>53</v>
      </c>
      <c r="N67" t="s">
        <v>20</v>
      </c>
    </row>
    <row r="68" spans="1:14">
      <c r="A68">
        <v>29355</v>
      </c>
      <c r="B68" t="s">
        <v>41</v>
      </c>
      <c r="C68" t="s">
        <v>43</v>
      </c>
      <c r="D68" s="3">
        <v>40000</v>
      </c>
      <c r="E68" s="3" t="s">
        <v>45</v>
      </c>
      <c r="F68">
        <v>0</v>
      </c>
      <c r="G68" t="s">
        <v>34</v>
      </c>
      <c r="H68" t="s">
        <v>22</v>
      </c>
      <c r="I68" t="s">
        <v>7</v>
      </c>
      <c r="J68">
        <v>0</v>
      </c>
      <c r="K68" t="s">
        <v>18</v>
      </c>
      <c r="L68" t="s">
        <v>19</v>
      </c>
      <c r="M68" t="s">
        <v>49</v>
      </c>
      <c r="N68" t="s">
        <v>17</v>
      </c>
    </row>
    <row r="69" spans="1:14">
      <c r="A69">
        <v>25303</v>
      </c>
      <c r="B69" t="s">
        <v>42</v>
      </c>
      <c r="C69" t="s">
        <v>44</v>
      </c>
      <c r="D69" s="3">
        <v>30000</v>
      </c>
      <c r="E69" s="3" t="s">
        <v>45</v>
      </c>
      <c r="F69">
        <v>0</v>
      </c>
      <c r="G69" t="s">
        <v>30</v>
      </c>
      <c r="H69" t="s">
        <v>28</v>
      </c>
      <c r="I69" t="s">
        <v>7</v>
      </c>
      <c r="J69">
        <v>1</v>
      </c>
      <c r="K69" t="s">
        <v>24</v>
      </c>
      <c r="L69" t="s">
        <v>19</v>
      </c>
      <c r="M69" t="s">
        <v>52</v>
      </c>
      <c r="N69" t="s">
        <v>17</v>
      </c>
    </row>
    <row r="70" spans="1:14">
      <c r="A70">
        <v>14813</v>
      </c>
      <c r="B70" t="s">
        <v>42</v>
      </c>
      <c r="C70" t="s">
        <v>43</v>
      </c>
      <c r="D70" s="3">
        <v>20000</v>
      </c>
      <c r="E70" s="3" t="s">
        <v>45</v>
      </c>
      <c r="F70">
        <v>4</v>
      </c>
      <c r="G70" t="s">
        <v>30</v>
      </c>
      <c r="H70" t="s">
        <v>28</v>
      </c>
      <c r="I70" t="s">
        <v>7</v>
      </c>
      <c r="J70">
        <v>1</v>
      </c>
      <c r="K70" t="s">
        <v>18</v>
      </c>
      <c r="L70" t="s">
        <v>19</v>
      </c>
      <c r="M70" t="s">
        <v>49</v>
      </c>
      <c r="N70" t="s">
        <v>17</v>
      </c>
    </row>
    <row r="71" spans="1:14">
      <c r="A71">
        <v>16438</v>
      </c>
      <c r="B71" t="s">
        <v>41</v>
      </c>
      <c r="C71" t="s">
        <v>43</v>
      </c>
      <c r="D71" s="3">
        <v>10000</v>
      </c>
      <c r="E71" s="3" t="s">
        <v>45</v>
      </c>
      <c r="F71">
        <v>0</v>
      </c>
      <c r="G71" t="s">
        <v>32</v>
      </c>
      <c r="H71" t="s">
        <v>28</v>
      </c>
      <c r="I71" t="s">
        <v>48</v>
      </c>
      <c r="J71">
        <v>2</v>
      </c>
      <c r="K71" t="s">
        <v>18</v>
      </c>
      <c r="L71" t="s">
        <v>19</v>
      </c>
      <c r="M71" t="s">
        <v>52</v>
      </c>
      <c r="N71" t="s">
        <v>20</v>
      </c>
    </row>
    <row r="72" spans="1:14">
      <c r="A72">
        <v>14238</v>
      </c>
      <c r="B72" t="s">
        <v>41</v>
      </c>
      <c r="C72" t="s">
        <v>44</v>
      </c>
      <c r="D72" s="3">
        <v>120000</v>
      </c>
      <c r="E72" s="3" t="s">
        <v>47</v>
      </c>
      <c r="F72">
        <v>0</v>
      </c>
      <c r="G72" t="s">
        <v>32</v>
      </c>
      <c r="H72" t="s">
        <v>23</v>
      </c>
      <c r="I72" t="s">
        <v>7</v>
      </c>
      <c r="J72">
        <v>4</v>
      </c>
      <c r="K72" t="s">
        <v>33</v>
      </c>
      <c r="L72" t="s">
        <v>27</v>
      </c>
      <c r="M72" t="s">
        <v>49</v>
      </c>
      <c r="N72" t="s">
        <v>17</v>
      </c>
    </row>
    <row r="73" spans="1:14">
      <c r="A73">
        <v>16200</v>
      </c>
      <c r="B73" t="s">
        <v>42</v>
      </c>
      <c r="C73" t="s">
        <v>43</v>
      </c>
      <c r="D73" s="3">
        <v>10000</v>
      </c>
      <c r="E73" s="3" t="s">
        <v>45</v>
      </c>
      <c r="F73">
        <v>0</v>
      </c>
      <c r="G73" t="s">
        <v>32</v>
      </c>
      <c r="H73" t="s">
        <v>28</v>
      </c>
      <c r="I73" t="s">
        <v>48</v>
      </c>
      <c r="J73">
        <v>2</v>
      </c>
      <c r="K73" t="s">
        <v>18</v>
      </c>
      <c r="L73" t="s">
        <v>19</v>
      </c>
      <c r="M73" t="s">
        <v>49</v>
      </c>
      <c r="N73" t="s">
        <v>20</v>
      </c>
    </row>
    <row r="74" spans="1:14">
      <c r="A74">
        <v>24857</v>
      </c>
      <c r="B74" t="s">
        <v>41</v>
      </c>
      <c r="C74" t="s">
        <v>43</v>
      </c>
      <c r="D74" s="3">
        <v>130000</v>
      </c>
      <c r="E74" s="3" t="s">
        <v>47</v>
      </c>
      <c r="F74">
        <v>3</v>
      </c>
      <c r="G74" t="s">
        <v>30</v>
      </c>
      <c r="H74" t="s">
        <v>23</v>
      </c>
      <c r="I74" t="s">
        <v>7</v>
      </c>
      <c r="J74">
        <v>4</v>
      </c>
      <c r="K74" t="s">
        <v>18</v>
      </c>
      <c r="L74" t="s">
        <v>19</v>
      </c>
      <c r="M74" t="s">
        <v>51</v>
      </c>
      <c r="N74" t="s">
        <v>20</v>
      </c>
    </row>
    <row r="75" spans="1:14">
      <c r="A75">
        <v>26956</v>
      </c>
      <c r="B75" t="s">
        <v>42</v>
      </c>
      <c r="C75" t="s">
        <v>43</v>
      </c>
      <c r="D75" s="3">
        <v>20000</v>
      </c>
      <c r="E75" s="3" t="s">
        <v>45</v>
      </c>
      <c r="F75">
        <v>0</v>
      </c>
      <c r="G75" t="s">
        <v>21</v>
      </c>
      <c r="H75" t="s">
        <v>28</v>
      </c>
      <c r="I75" t="s">
        <v>48</v>
      </c>
      <c r="J75">
        <v>1</v>
      </c>
      <c r="K75" t="s">
        <v>24</v>
      </c>
      <c r="L75" t="s">
        <v>19</v>
      </c>
      <c r="M75" t="s">
        <v>49</v>
      </c>
      <c r="N75" t="s">
        <v>17</v>
      </c>
    </row>
    <row r="76" spans="1:14">
      <c r="A76">
        <v>14517</v>
      </c>
      <c r="B76" t="s">
        <v>41</v>
      </c>
      <c r="C76" t="s">
        <v>43</v>
      </c>
      <c r="D76" s="3">
        <v>20000</v>
      </c>
      <c r="E76" s="3" t="s">
        <v>45</v>
      </c>
      <c r="F76">
        <v>3</v>
      </c>
      <c r="G76" t="s">
        <v>30</v>
      </c>
      <c r="H76" t="s">
        <v>16</v>
      </c>
      <c r="I76" t="s">
        <v>48</v>
      </c>
      <c r="J76">
        <v>2</v>
      </c>
      <c r="K76" t="s">
        <v>29</v>
      </c>
      <c r="L76" t="s">
        <v>27</v>
      </c>
      <c r="M76" t="s">
        <v>50</v>
      </c>
      <c r="N76" t="s">
        <v>20</v>
      </c>
    </row>
    <row r="77" spans="1:14">
      <c r="A77">
        <v>12678</v>
      </c>
      <c r="B77" t="s">
        <v>42</v>
      </c>
      <c r="C77" t="s">
        <v>43</v>
      </c>
      <c r="D77" s="3">
        <v>130000</v>
      </c>
      <c r="E77" s="3" t="s">
        <v>47</v>
      </c>
      <c r="F77">
        <v>4</v>
      </c>
      <c r="G77" t="s">
        <v>30</v>
      </c>
      <c r="H77" t="s">
        <v>31</v>
      </c>
      <c r="I77" t="s">
        <v>7</v>
      </c>
      <c r="J77">
        <v>4</v>
      </c>
      <c r="K77" t="s">
        <v>18</v>
      </c>
      <c r="L77" t="s">
        <v>27</v>
      </c>
      <c r="M77" t="s">
        <v>52</v>
      </c>
      <c r="N77" t="s">
        <v>20</v>
      </c>
    </row>
    <row r="78" spans="1:14">
      <c r="A78">
        <v>16188</v>
      </c>
      <c r="B78" t="s">
        <v>42</v>
      </c>
      <c r="C78" t="s">
        <v>43</v>
      </c>
      <c r="D78" s="3">
        <v>20000</v>
      </c>
      <c r="E78" s="3" t="s">
        <v>45</v>
      </c>
      <c r="F78">
        <v>0</v>
      </c>
      <c r="G78" t="s">
        <v>32</v>
      </c>
      <c r="H78" t="s">
        <v>28</v>
      </c>
      <c r="I78" t="s">
        <v>48</v>
      </c>
      <c r="J78">
        <v>2</v>
      </c>
      <c r="K78" t="s">
        <v>29</v>
      </c>
      <c r="L78" t="s">
        <v>19</v>
      </c>
      <c r="M78" t="s">
        <v>52</v>
      </c>
      <c r="N78" t="s">
        <v>20</v>
      </c>
    </row>
    <row r="79" spans="1:14">
      <c r="A79">
        <v>27969</v>
      </c>
      <c r="B79" t="s">
        <v>41</v>
      </c>
      <c r="C79" t="s">
        <v>44</v>
      </c>
      <c r="D79" s="3">
        <v>80000</v>
      </c>
      <c r="E79" s="3" t="s">
        <v>46</v>
      </c>
      <c r="F79">
        <v>0</v>
      </c>
      <c r="G79" t="s">
        <v>15</v>
      </c>
      <c r="H79" t="s">
        <v>23</v>
      </c>
      <c r="I79" t="s">
        <v>7</v>
      </c>
      <c r="J79">
        <v>2</v>
      </c>
      <c r="K79" t="s">
        <v>33</v>
      </c>
      <c r="L79" t="s">
        <v>27</v>
      </c>
      <c r="M79" t="s">
        <v>52</v>
      </c>
      <c r="N79" t="s">
        <v>17</v>
      </c>
    </row>
    <row r="80" spans="1:14">
      <c r="A80">
        <v>15752</v>
      </c>
      <c r="B80" t="s">
        <v>41</v>
      </c>
      <c r="C80" t="s">
        <v>44</v>
      </c>
      <c r="D80" s="3">
        <v>80000</v>
      </c>
      <c r="E80" s="3" t="s">
        <v>46</v>
      </c>
      <c r="F80">
        <v>2</v>
      </c>
      <c r="G80" t="s">
        <v>30</v>
      </c>
      <c r="H80" t="s">
        <v>16</v>
      </c>
      <c r="I80" t="s">
        <v>48</v>
      </c>
      <c r="J80">
        <v>2</v>
      </c>
      <c r="K80" t="s">
        <v>29</v>
      </c>
      <c r="L80" t="s">
        <v>27</v>
      </c>
      <c r="M80" t="s">
        <v>51</v>
      </c>
      <c r="N80" t="s">
        <v>17</v>
      </c>
    </row>
    <row r="81" spans="1:14">
      <c r="A81">
        <v>27745</v>
      </c>
      <c r="B81" t="s">
        <v>42</v>
      </c>
      <c r="C81" t="s">
        <v>44</v>
      </c>
      <c r="D81" s="3">
        <v>40000</v>
      </c>
      <c r="E81" s="3" t="s">
        <v>45</v>
      </c>
      <c r="F81">
        <v>2</v>
      </c>
      <c r="G81" t="s">
        <v>15</v>
      </c>
      <c r="H81" t="s">
        <v>31</v>
      </c>
      <c r="I81" t="s">
        <v>7</v>
      </c>
      <c r="J81">
        <v>2</v>
      </c>
      <c r="K81" t="s">
        <v>26</v>
      </c>
      <c r="L81" t="s">
        <v>27</v>
      </c>
      <c r="M81" t="s">
        <v>50</v>
      </c>
      <c r="N81" t="s">
        <v>17</v>
      </c>
    </row>
    <row r="82" spans="1:14">
      <c r="A82">
        <v>20828</v>
      </c>
      <c r="B82" t="s">
        <v>41</v>
      </c>
      <c r="C82" t="s">
        <v>43</v>
      </c>
      <c r="D82" s="3">
        <v>30000</v>
      </c>
      <c r="E82" s="3" t="s">
        <v>45</v>
      </c>
      <c r="F82">
        <v>4</v>
      </c>
      <c r="G82" t="s">
        <v>34</v>
      </c>
      <c r="H82" t="s">
        <v>22</v>
      </c>
      <c r="I82" t="s">
        <v>7</v>
      </c>
      <c r="J82">
        <v>0</v>
      </c>
      <c r="K82" t="s">
        <v>18</v>
      </c>
      <c r="L82" t="s">
        <v>19</v>
      </c>
      <c r="M82" t="s">
        <v>51</v>
      </c>
      <c r="N82" t="s">
        <v>17</v>
      </c>
    </row>
    <row r="83" spans="1:14">
      <c r="A83">
        <v>19461</v>
      </c>
      <c r="B83" t="s">
        <v>42</v>
      </c>
      <c r="C83" t="s">
        <v>43</v>
      </c>
      <c r="D83" s="3">
        <v>10000</v>
      </c>
      <c r="E83" s="3" t="s">
        <v>45</v>
      </c>
      <c r="F83">
        <v>4</v>
      </c>
      <c r="G83" t="s">
        <v>32</v>
      </c>
      <c r="H83" t="s">
        <v>28</v>
      </c>
      <c r="I83" t="s">
        <v>7</v>
      </c>
      <c r="J83">
        <v>2</v>
      </c>
      <c r="K83" t="s">
        <v>18</v>
      </c>
      <c r="L83" t="s">
        <v>19</v>
      </c>
      <c r="M83" t="s">
        <v>49</v>
      </c>
      <c r="N83" t="s">
        <v>20</v>
      </c>
    </row>
    <row r="84" spans="1:14">
      <c r="A84">
        <v>26941</v>
      </c>
      <c r="B84" t="s">
        <v>41</v>
      </c>
      <c r="C84" t="s">
        <v>44</v>
      </c>
      <c r="D84" s="3">
        <v>30000</v>
      </c>
      <c r="E84" s="3" t="s">
        <v>45</v>
      </c>
      <c r="F84">
        <v>0</v>
      </c>
      <c r="G84" t="s">
        <v>15</v>
      </c>
      <c r="H84" t="s">
        <v>22</v>
      </c>
      <c r="I84" t="s">
        <v>7</v>
      </c>
      <c r="J84">
        <v>0</v>
      </c>
      <c r="K84" t="s">
        <v>18</v>
      </c>
      <c r="L84" t="s">
        <v>19</v>
      </c>
      <c r="M84" t="s">
        <v>51</v>
      </c>
      <c r="N84" t="s">
        <v>17</v>
      </c>
    </row>
    <row r="85" spans="1:14">
      <c r="A85">
        <v>28412</v>
      </c>
      <c r="B85" t="s">
        <v>42</v>
      </c>
      <c r="C85" t="s">
        <v>44</v>
      </c>
      <c r="D85" s="3">
        <v>20000</v>
      </c>
      <c r="E85" s="3" t="s">
        <v>45</v>
      </c>
      <c r="F85">
        <v>0</v>
      </c>
      <c r="G85" t="s">
        <v>30</v>
      </c>
      <c r="H85" t="s">
        <v>28</v>
      </c>
      <c r="I85" t="s">
        <v>48</v>
      </c>
      <c r="J85">
        <v>1</v>
      </c>
      <c r="K85" t="s">
        <v>24</v>
      </c>
      <c r="L85" t="s">
        <v>19</v>
      </c>
      <c r="M85" t="s">
        <v>52</v>
      </c>
      <c r="N85" t="s">
        <v>20</v>
      </c>
    </row>
    <row r="86" spans="1:14">
      <c r="A86">
        <v>24485</v>
      </c>
      <c r="B86" t="s">
        <v>42</v>
      </c>
      <c r="C86" t="s">
        <v>44</v>
      </c>
      <c r="D86" s="3">
        <v>40000</v>
      </c>
      <c r="E86" s="3" t="s">
        <v>45</v>
      </c>
      <c r="F86">
        <v>2</v>
      </c>
      <c r="G86" t="s">
        <v>15</v>
      </c>
      <c r="H86" t="s">
        <v>31</v>
      </c>
      <c r="I86" t="s">
        <v>48</v>
      </c>
      <c r="J86">
        <v>1</v>
      </c>
      <c r="K86" t="s">
        <v>26</v>
      </c>
      <c r="L86" t="s">
        <v>27</v>
      </c>
      <c r="M86" t="s">
        <v>51</v>
      </c>
      <c r="N86" t="s">
        <v>17</v>
      </c>
    </row>
    <row r="87" spans="1:14">
      <c r="A87">
        <v>16514</v>
      </c>
      <c r="B87" t="s">
        <v>42</v>
      </c>
      <c r="C87" t="s">
        <v>44</v>
      </c>
      <c r="D87" s="3">
        <v>10000</v>
      </c>
      <c r="E87" s="3" t="s">
        <v>45</v>
      </c>
      <c r="F87">
        <v>0</v>
      </c>
      <c r="G87" t="s">
        <v>21</v>
      </c>
      <c r="H87" t="s">
        <v>28</v>
      </c>
      <c r="I87" t="s">
        <v>7</v>
      </c>
      <c r="J87">
        <v>1</v>
      </c>
      <c r="K87" t="s">
        <v>29</v>
      </c>
      <c r="L87" t="s">
        <v>27</v>
      </c>
      <c r="M87" t="s">
        <v>52</v>
      </c>
      <c r="N87" t="s">
        <v>17</v>
      </c>
    </row>
    <row r="88" spans="1:14">
      <c r="A88">
        <v>17191</v>
      </c>
      <c r="B88" t="s">
        <v>42</v>
      </c>
      <c r="C88" t="s">
        <v>44</v>
      </c>
      <c r="D88" s="3">
        <v>130000</v>
      </c>
      <c r="E88" s="3" t="s">
        <v>47</v>
      </c>
      <c r="F88">
        <v>3</v>
      </c>
      <c r="G88" t="s">
        <v>21</v>
      </c>
      <c r="H88" t="s">
        <v>23</v>
      </c>
      <c r="I88" t="s">
        <v>48</v>
      </c>
      <c r="J88">
        <v>3</v>
      </c>
      <c r="K88" t="s">
        <v>18</v>
      </c>
      <c r="L88" t="s">
        <v>19</v>
      </c>
      <c r="M88" t="s">
        <v>51</v>
      </c>
      <c r="N88" t="s">
        <v>17</v>
      </c>
    </row>
    <row r="89" spans="1:14">
      <c r="A89">
        <v>19608</v>
      </c>
      <c r="B89" t="s">
        <v>41</v>
      </c>
      <c r="C89" t="s">
        <v>44</v>
      </c>
      <c r="D89" s="3">
        <v>80000</v>
      </c>
      <c r="E89" s="3" t="s">
        <v>46</v>
      </c>
      <c r="F89">
        <v>5</v>
      </c>
      <c r="G89" t="s">
        <v>15</v>
      </c>
      <c r="H89" t="s">
        <v>23</v>
      </c>
      <c r="I89" t="s">
        <v>7</v>
      </c>
      <c r="J89">
        <v>4</v>
      </c>
      <c r="K89" t="s">
        <v>29</v>
      </c>
      <c r="L89" t="s">
        <v>27</v>
      </c>
      <c r="M89" t="s">
        <v>49</v>
      </c>
      <c r="N89" t="s">
        <v>20</v>
      </c>
    </row>
    <row r="90" spans="1:14">
      <c r="A90">
        <v>24119</v>
      </c>
      <c r="B90" t="s">
        <v>42</v>
      </c>
      <c r="C90" t="s">
        <v>44</v>
      </c>
      <c r="D90" s="3">
        <v>30000</v>
      </c>
      <c r="E90" s="3" t="s">
        <v>45</v>
      </c>
      <c r="F90">
        <v>0</v>
      </c>
      <c r="G90" t="s">
        <v>21</v>
      </c>
      <c r="H90" t="s">
        <v>22</v>
      </c>
      <c r="I90" t="s">
        <v>48</v>
      </c>
      <c r="J90">
        <v>1</v>
      </c>
      <c r="K90" t="s">
        <v>24</v>
      </c>
      <c r="L90" t="s">
        <v>19</v>
      </c>
      <c r="M90" t="s">
        <v>52</v>
      </c>
      <c r="N90" t="s">
        <v>20</v>
      </c>
    </row>
    <row r="91" spans="1:14">
      <c r="A91">
        <v>25458</v>
      </c>
      <c r="B91" t="s">
        <v>41</v>
      </c>
      <c r="C91" t="s">
        <v>44</v>
      </c>
      <c r="D91" s="3">
        <v>20000</v>
      </c>
      <c r="E91" s="3" t="s">
        <v>45</v>
      </c>
      <c r="F91">
        <v>1</v>
      </c>
      <c r="G91" t="s">
        <v>30</v>
      </c>
      <c r="H91" t="s">
        <v>28</v>
      </c>
      <c r="I91" t="s">
        <v>48</v>
      </c>
      <c r="J91">
        <v>1</v>
      </c>
      <c r="K91" t="s">
        <v>29</v>
      </c>
      <c r="L91" t="s">
        <v>19</v>
      </c>
      <c r="M91" t="s">
        <v>49</v>
      </c>
      <c r="N91" t="s">
        <v>17</v>
      </c>
    </row>
    <row r="92" spans="1:14">
      <c r="A92">
        <v>26886</v>
      </c>
      <c r="B92" t="s">
        <v>42</v>
      </c>
      <c r="C92" t="s">
        <v>43</v>
      </c>
      <c r="D92" s="3">
        <v>30000</v>
      </c>
      <c r="E92" s="3" t="s">
        <v>45</v>
      </c>
      <c r="F92">
        <v>0</v>
      </c>
      <c r="G92" t="s">
        <v>21</v>
      </c>
      <c r="H92" t="s">
        <v>22</v>
      </c>
      <c r="I92" t="s">
        <v>48</v>
      </c>
      <c r="J92">
        <v>1</v>
      </c>
      <c r="K92" t="s">
        <v>18</v>
      </c>
      <c r="L92" t="s">
        <v>19</v>
      </c>
      <c r="M92" t="s">
        <v>52</v>
      </c>
      <c r="N92" t="s">
        <v>17</v>
      </c>
    </row>
    <row r="93" spans="1:14">
      <c r="A93">
        <v>28436</v>
      </c>
      <c r="B93" t="s">
        <v>42</v>
      </c>
      <c r="C93" t="s">
        <v>44</v>
      </c>
      <c r="D93" s="3">
        <v>30000</v>
      </c>
      <c r="E93" s="3" t="s">
        <v>45</v>
      </c>
      <c r="F93">
        <v>0</v>
      </c>
      <c r="G93" t="s">
        <v>21</v>
      </c>
      <c r="H93" t="s">
        <v>22</v>
      </c>
      <c r="I93" t="s">
        <v>48</v>
      </c>
      <c r="J93">
        <v>1</v>
      </c>
      <c r="K93" t="s">
        <v>18</v>
      </c>
      <c r="L93" t="s">
        <v>19</v>
      </c>
      <c r="M93" t="s">
        <v>52</v>
      </c>
      <c r="N93" t="s">
        <v>17</v>
      </c>
    </row>
    <row r="94" spans="1:14">
      <c r="A94">
        <v>19562</v>
      </c>
      <c r="B94" t="s">
        <v>42</v>
      </c>
      <c r="C94" t="s">
        <v>43</v>
      </c>
      <c r="D94" s="3">
        <v>60000</v>
      </c>
      <c r="E94" s="3" t="s">
        <v>46</v>
      </c>
      <c r="F94">
        <v>2</v>
      </c>
      <c r="G94" t="s">
        <v>15</v>
      </c>
      <c r="H94" t="s">
        <v>23</v>
      </c>
      <c r="I94" t="s">
        <v>7</v>
      </c>
      <c r="J94">
        <v>1</v>
      </c>
      <c r="K94" t="s">
        <v>24</v>
      </c>
      <c r="L94" t="s">
        <v>27</v>
      </c>
      <c r="M94" t="s">
        <v>49</v>
      </c>
      <c r="N94" t="s">
        <v>17</v>
      </c>
    </row>
    <row r="95" spans="1:14">
      <c r="A95">
        <v>15608</v>
      </c>
      <c r="B95" t="s">
        <v>42</v>
      </c>
      <c r="C95" t="s">
        <v>43</v>
      </c>
      <c r="D95" s="3">
        <v>30000</v>
      </c>
      <c r="E95" s="3" t="s">
        <v>45</v>
      </c>
      <c r="F95">
        <v>0</v>
      </c>
      <c r="G95" t="s">
        <v>21</v>
      </c>
      <c r="H95" t="s">
        <v>22</v>
      </c>
      <c r="I95" t="s">
        <v>48</v>
      </c>
      <c r="J95">
        <v>1</v>
      </c>
      <c r="K95" t="s">
        <v>24</v>
      </c>
      <c r="L95" t="s">
        <v>19</v>
      </c>
      <c r="M95" t="s">
        <v>52</v>
      </c>
      <c r="N95" t="s">
        <v>20</v>
      </c>
    </row>
    <row r="96" spans="1:14">
      <c r="A96">
        <v>16487</v>
      </c>
      <c r="B96" t="s">
        <v>42</v>
      </c>
      <c r="C96" t="s">
        <v>43</v>
      </c>
      <c r="D96" s="3">
        <v>30000</v>
      </c>
      <c r="E96" s="3" t="s">
        <v>45</v>
      </c>
      <c r="F96">
        <v>3</v>
      </c>
      <c r="G96" t="s">
        <v>30</v>
      </c>
      <c r="H96" t="s">
        <v>16</v>
      </c>
      <c r="I96" t="s">
        <v>7</v>
      </c>
      <c r="J96">
        <v>2</v>
      </c>
      <c r="K96" t="s">
        <v>26</v>
      </c>
      <c r="L96" t="s">
        <v>27</v>
      </c>
      <c r="M96" t="s">
        <v>50</v>
      </c>
      <c r="N96" t="s">
        <v>20</v>
      </c>
    </row>
    <row r="97" spans="1:14">
      <c r="A97">
        <v>17197</v>
      </c>
      <c r="B97" t="s">
        <v>42</v>
      </c>
      <c r="C97" t="s">
        <v>43</v>
      </c>
      <c r="D97" s="3">
        <v>90000</v>
      </c>
      <c r="E97" s="3" t="s">
        <v>46</v>
      </c>
      <c r="F97">
        <v>5</v>
      </c>
      <c r="G97" t="s">
        <v>21</v>
      </c>
      <c r="H97" t="s">
        <v>23</v>
      </c>
      <c r="I97" t="s">
        <v>7</v>
      </c>
      <c r="J97">
        <v>2</v>
      </c>
      <c r="K97" t="s">
        <v>33</v>
      </c>
      <c r="L97" t="s">
        <v>19</v>
      </c>
      <c r="M97" t="s">
        <v>50</v>
      </c>
      <c r="N97" t="s">
        <v>20</v>
      </c>
    </row>
    <row r="98" spans="1:14">
      <c r="A98">
        <v>12507</v>
      </c>
      <c r="B98" t="s">
        <v>41</v>
      </c>
      <c r="C98" t="s">
        <v>44</v>
      </c>
      <c r="D98" s="3">
        <v>30000</v>
      </c>
      <c r="E98" s="3" t="s">
        <v>45</v>
      </c>
      <c r="F98">
        <v>1</v>
      </c>
      <c r="G98" t="s">
        <v>21</v>
      </c>
      <c r="H98" t="s">
        <v>22</v>
      </c>
      <c r="I98" t="s">
        <v>7</v>
      </c>
      <c r="J98">
        <v>1</v>
      </c>
      <c r="K98" t="s">
        <v>18</v>
      </c>
      <c r="L98" t="s">
        <v>19</v>
      </c>
      <c r="M98" t="s">
        <v>49</v>
      </c>
      <c r="N98" t="s">
        <v>20</v>
      </c>
    </row>
    <row r="99" spans="1:14">
      <c r="A99">
        <v>23940</v>
      </c>
      <c r="B99" t="s">
        <v>41</v>
      </c>
      <c r="C99" t="s">
        <v>44</v>
      </c>
      <c r="D99" s="3">
        <v>40000</v>
      </c>
      <c r="E99" s="3" t="s">
        <v>45</v>
      </c>
      <c r="F99">
        <v>1</v>
      </c>
      <c r="G99" t="s">
        <v>15</v>
      </c>
      <c r="H99" t="s">
        <v>16</v>
      </c>
      <c r="I99" t="s">
        <v>7</v>
      </c>
      <c r="J99">
        <v>1</v>
      </c>
      <c r="K99" t="s">
        <v>18</v>
      </c>
      <c r="L99" t="s">
        <v>19</v>
      </c>
      <c r="M99" t="s">
        <v>49</v>
      </c>
      <c r="N99" t="s">
        <v>17</v>
      </c>
    </row>
    <row r="100" spans="1:14">
      <c r="A100">
        <v>19441</v>
      </c>
      <c r="B100" t="s">
        <v>41</v>
      </c>
      <c r="C100" t="s">
        <v>44</v>
      </c>
      <c r="D100" s="3">
        <v>40000</v>
      </c>
      <c r="E100" s="3" t="s">
        <v>45</v>
      </c>
      <c r="F100">
        <v>0</v>
      </c>
      <c r="G100" t="s">
        <v>34</v>
      </c>
      <c r="H100" t="s">
        <v>22</v>
      </c>
      <c r="I100" t="s">
        <v>7</v>
      </c>
      <c r="J100">
        <v>0</v>
      </c>
      <c r="K100" t="s">
        <v>18</v>
      </c>
      <c r="L100" t="s">
        <v>19</v>
      </c>
      <c r="M100" t="s">
        <v>52</v>
      </c>
      <c r="N100" t="s">
        <v>17</v>
      </c>
    </row>
    <row r="101" spans="1:14">
      <c r="A101">
        <v>26852</v>
      </c>
      <c r="B101" t="s">
        <v>41</v>
      </c>
      <c r="C101" t="s">
        <v>43</v>
      </c>
      <c r="D101" s="3">
        <v>20000</v>
      </c>
      <c r="E101" s="3" t="s">
        <v>45</v>
      </c>
      <c r="F101">
        <v>3</v>
      </c>
      <c r="G101" t="s">
        <v>30</v>
      </c>
      <c r="H101" t="s">
        <v>28</v>
      </c>
      <c r="I101" t="s">
        <v>7</v>
      </c>
      <c r="J101">
        <v>2</v>
      </c>
      <c r="K101" t="s">
        <v>18</v>
      </c>
      <c r="L101" t="s">
        <v>19</v>
      </c>
      <c r="M101" t="s">
        <v>49</v>
      </c>
      <c r="N101" t="s">
        <v>20</v>
      </c>
    </row>
    <row r="102" spans="1:14">
      <c r="A102">
        <v>12274</v>
      </c>
      <c r="B102" t="s">
        <v>42</v>
      </c>
      <c r="C102" t="s">
        <v>44</v>
      </c>
      <c r="D102" s="3">
        <v>10000</v>
      </c>
      <c r="E102" s="3" t="s">
        <v>45</v>
      </c>
      <c r="F102">
        <v>2</v>
      </c>
      <c r="G102" t="s">
        <v>30</v>
      </c>
      <c r="H102" t="s">
        <v>28</v>
      </c>
      <c r="I102" t="s">
        <v>7</v>
      </c>
      <c r="J102">
        <v>0</v>
      </c>
      <c r="K102" t="s">
        <v>18</v>
      </c>
      <c r="L102" t="s">
        <v>19</v>
      </c>
      <c r="M102" t="s">
        <v>49</v>
      </c>
      <c r="N102" t="s">
        <v>20</v>
      </c>
    </row>
    <row r="103" spans="1:14">
      <c r="A103">
        <v>20236</v>
      </c>
      <c r="B103" t="s">
        <v>42</v>
      </c>
      <c r="C103" t="s">
        <v>44</v>
      </c>
      <c r="D103" s="3">
        <v>60000</v>
      </c>
      <c r="E103" s="3" t="s">
        <v>46</v>
      </c>
      <c r="F103">
        <v>3</v>
      </c>
      <c r="G103" t="s">
        <v>15</v>
      </c>
      <c r="H103" t="s">
        <v>23</v>
      </c>
      <c r="I103" t="s">
        <v>48</v>
      </c>
      <c r="J103">
        <v>2</v>
      </c>
      <c r="K103" t="s">
        <v>18</v>
      </c>
      <c r="L103" t="s">
        <v>27</v>
      </c>
      <c r="M103" t="s">
        <v>49</v>
      </c>
      <c r="N103" t="s">
        <v>17</v>
      </c>
    </row>
    <row r="104" spans="1:14">
      <c r="A104">
        <v>24149</v>
      </c>
      <c r="B104" t="s">
        <v>41</v>
      </c>
      <c r="C104" t="s">
        <v>44</v>
      </c>
      <c r="D104" s="3">
        <v>10000</v>
      </c>
      <c r="E104" s="3" t="s">
        <v>45</v>
      </c>
      <c r="F104">
        <v>2</v>
      </c>
      <c r="G104" t="s">
        <v>21</v>
      </c>
      <c r="H104" t="s">
        <v>28</v>
      </c>
      <c r="I104" t="s">
        <v>7</v>
      </c>
      <c r="J104">
        <v>0</v>
      </c>
      <c r="K104" t="s">
        <v>29</v>
      </c>
      <c r="L104" t="s">
        <v>19</v>
      </c>
      <c r="M104" t="s">
        <v>51</v>
      </c>
      <c r="N104" t="s">
        <v>20</v>
      </c>
    </row>
    <row r="105" spans="1:14">
      <c r="A105">
        <v>26139</v>
      </c>
      <c r="B105" t="s">
        <v>42</v>
      </c>
      <c r="C105" t="s">
        <v>44</v>
      </c>
      <c r="D105" s="3">
        <v>60000</v>
      </c>
      <c r="E105" s="3" t="s">
        <v>46</v>
      </c>
      <c r="F105">
        <v>1</v>
      </c>
      <c r="G105" t="s">
        <v>21</v>
      </c>
      <c r="H105" t="s">
        <v>16</v>
      </c>
      <c r="I105" t="s">
        <v>7</v>
      </c>
      <c r="J105">
        <v>1</v>
      </c>
      <c r="K105" t="s">
        <v>26</v>
      </c>
      <c r="L105" t="s">
        <v>27</v>
      </c>
      <c r="M105" t="s">
        <v>51</v>
      </c>
      <c r="N105" t="s">
        <v>20</v>
      </c>
    </row>
    <row r="106" spans="1:14">
      <c r="A106">
        <v>18491</v>
      </c>
      <c r="B106" t="s">
        <v>42</v>
      </c>
      <c r="C106" t="s">
        <v>43</v>
      </c>
      <c r="D106" s="3">
        <v>70000</v>
      </c>
      <c r="E106" s="3" t="s">
        <v>46</v>
      </c>
      <c r="F106">
        <v>2</v>
      </c>
      <c r="G106" t="s">
        <v>30</v>
      </c>
      <c r="H106" t="s">
        <v>23</v>
      </c>
      <c r="I106" t="s">
        <v>7</v>
      </c>
      <c r="J106">
        <v>2</v>
      </c>
      <c r="K106" t="s">
        <v>26</v>
      </c>
      <c r="L106" t="s">
        <v>27</v>
      </c>
      <c r="M106" t="s">
        <v>51</v>
      </c>
      <c r="N106" t="s">
        <v>17</v>
      </c>
    </row>
    <row r="107" spans="1:14">
      <c r="A107">
        <v>22707</v>
      </c>
      <c r="B107" t="s">
        <v>42</v>
      </c>
      <c r="C107" t="s">
        <v>43</v>
      </c>
      <c r="D107" s="3">
        <v>30000</v>
      </c>
      <c r="E107" s="3" t="s">
        <v>45</v>
      </c>
      <c r="F107">
        <v>0</v>
      </c>
      <c r="G107" t="s">
        <v>21</v>
      </c>
      <c r="H107" t="s">
        <v>22</v>
      </c>
      <c r="I107" t="s">
        <v>48</v>
      </c>
      <c r="J107">
        <v>1</v>
      </c>
      <c r="K107" t="s">
        <v>24</v>
      </c>
      <c r="L107" t="s">
        <v>19</v>
      </c>
      <c r="M107" t="s">
        <v>52</v>
      </c>
      <c r="N107" t="s">
        <v>20</v>
      </c>
    </row>
    <row r="108" spans="1:14">
      <c r="A108">
        <v>20430</v>
      </c>
      <c r="B108" t="s">
        <v>41</v>
      </c>
      <c r="C108" t="s">
        <v>44</v>
      </c>
      <c r="D108" s="3">
        <v>70000</v>
      </c>
      <c r="E108" s="3" t="s">
        <v>46</v>
      </c>
      <c r="F108">
        <v>2</v>
      </c>
      <c r="G108" t="s">
        <v>21</v>
      </c>
      <c r="H108" t="s">
        <v>16</v>
      </c>
      <c r="I108" t="s">
        <v>7</v>
      </c>
      <c r="J108">
        <v>2</v>
      </c>
      <c r="K108" t="s">
        <v>26</v>
      </c>
      <c r="L108" t="s">
        <v>27</v>
      </c>
      <c r="M108" t="s">
        <v>51</v>
      </c>
      <c r="N108" t="s">
        <v>17</v>
      </c>
    </row>
    <row r="109" spans="1:14">
      <c r="A109">
        <v>27494</v>
      </c>
      <c r="B109" t="s">
        <v>42</v>
      </c>
      <c r="C109" t="s">
        <v>43</v>
      </c>
      <c r="D109" s="3">
        <v>40000</v>
      </c>
      <c r="E109" s="3" t="s">
        <v>45</v>
      </c>
      <c r="F109">
        <v>2</v>
      </c>
      <c r="G109" t="s">
        <v>21</v>
      </c>
      <c r="H109" t="s">
        <v>16</v>
      </c>
      <c r="I109" t="s">
        <v>48</v>
      </c>
      <c r="J109">
        <v>2</v>
      </c>
      <c r="K109" t="s">
        <v>29</v>
      </c>
      <c r="L109" t="s">
        <v>27</v>
      </c>
      <c r="M109" t="s">
        <v>51</v>
      </c>
      <c r="N109" t="s">
        <v>17</v>
      </c>
    </row>
    <row r="110" spans="1:14">
      <c r="A110">
        <v>26829</v>
      </c>
      <c r="B110" t="s">
        <v>41</v>
      </c>
      <c r="C110" t="s">
        <v>43</v>
      </c>
      <c r="D110" s="3">
        <v>40000</v>
      </c>
      <c r="E110" s="3" t="s">
        <v>45</v>
      </c>
      <c r="F110">
        <v>0</v>
      </c>
      <c r="G110" t="s">
        <v>15</v>
      </c>
      <c r="H110" t="s">
        <v>22</v>
      </c>
      <c r="I110" t="s">
        <v>7</v>
      </c>
      <c r="J110">
        <v>0</v>
      </c>
      <c r="K110" t="s">
        <v>18</v>
      </c>
      <c r="L110" t="s">
        <v>19</v>
      </c>
      <c r="M110" t="s">
        <v>49</v>
      </c>
      <c r="N110" t="s">
        <v>17</v>
      </c>
    </row>
    <row r="111" spans="1:14">
      <c r="A111">
        <v>28395</v>
      </c>
      <c r="B111" t="s">
        <v>42</v>
      </c>
      <c r="C111" t="s">
        <v>44</v>
      </c>
      <c r="D111" s="3">
        <v>40000</v>
      </c>
      <c r="E111" s="3" t="s">
        <v>45</v>
      </c>
      <c r="F111">
        <v>0</v>
      </c>
      <c r="G111" t="s">
        <v>15</v>
      </c>
      <c r="H111" t="s">
        <v>23</v>
      </c>
      <c r="I111" t="s">
        <v>48</v>
      </c>
      <c r="J111">
        <v>0</v>
      </c>
      <c r="K111" t="s">
        <v>18</v>
      </c>
      <c r="L111" t="s">
        <v>19</v>
      </c>
      <c r="M111" t="s">
        <v>49</v>
      </c>
      <c r="N111" t="s">
        <v>17</v>
      </c>
    </row>
    <row r="112" spans="1:14">
      <c r="A112">
        <v>21006</v>
      </c>
      <c r="B112" t="s">
        <v>42</v>
      </c>
      <c r="C112" t="s">
        <v>43</v>
      </c>
      <c r="D112" s="3">
        <v>30000</v>
      </c>
      <c r="E112" s="3" t="s">
        <v>45</v>
      </c>
      <c r="F112">
        <v>1</v>
      </c>
      <c r="G112" t="s">
        <v>21</v>
      </c>
      <c r="H112" t="s">
        <v>28</v>
      </c>
      <c r="I112" t="s">
        <v>48</v>
      </c>
      <c r="J112">
        <v>0</v>
      </c>
      <c r="K112" t="s">
        <v>18</v>
      </c>
      <c r="L112" t="s">
        <v>19</v>
      </c>
      <c r="M112" t="s">
        <v>51</v>
      </c>
      <c r="N112" t="s">
        <v>17</v>
      </c>
    </row>
    <row r="113" spans="1:14">
      <c r="A113">
        <v>14682</v>
      </c>
      <c r="B113" t="s">
        <v>42</v>
      </c>
      <c r="C113" t="s">
        <v>43</v>
      </c>
      <c r="D113" s="3">
        <v>70000</v>
      </c>
      <c r="E113" s="3" t="s">
        <v>46</v>
      </c>
      <c r="F113">
        <v>0</v>
      </c>
      <c r="G113" t="s">
        <v>15</v>
      </c>
      <c r="H113" t="s">
        <v>23</v>
      </c>
      <c r="I113" t="s">
        <v>48</v>
      </c>
      <c r="J113">
        <v>1</v>
      </c>
      <c r="K113" t="s">
        <v>26</v>
      </c>
      <c r="L113" t="s">
        <v>27</v>
      </c>
      <c r="M113" t="s">
        <v>49</v>
      </c>
      <c r="N113" t="s">
        <v>20</v>
      </c>
    </row>
    <row r="114" spans="1:14">
      <c r="A114">
        <v>17650</v>
      </c>
      <c r="B114" t="s">
        <v>42</v>
      </c>
      <c r="C114" t="s">
        <v>43</v>
      </c>
      <c r="D114" s="3">
        <v>40000</v>
      </c>
      <c r="E114" s="3" t="s">
        <v>45</v>
      </c>
      <c r="F114">
        <v>2</v>
      </c>
      <c r="G114" t="s">
        <v>21</v>
      </c>
      <c r="H114" t="s">
        <v>22</v>
      </c>
      <c r="I114" t="s">
        <v>7</v>
      </c>
      <c r="J114">
        <v>2</v>
      </c>
      <c r="K114" t="s">
        <v>29</v>
      </c>
      <c r="L114" t="s">
        <v>19</v>
      </c>
      <c r="M114" t="s">
        <v>49</v>
      </c>
      <c r="N114" t="s">
        <v>20</v>
      </c>
    </row>
    <row r="115" spans="1:14">
      <c r="A115">
        <v>29191</v>
      </c>
      <c r="B115" t="s">
        <v>42</v>
      </c>
      <c r="C115" t="s">
        <v>43</v>
      </c>
      <c r="D115" s="3">
        <v>130000</v>
      </c>
      <c r="E115" s="3" t="s">
        <v>47</v>
      </c>
      <c r="F115">
        <v>1</v>
      </c>
      <c r="G115" t="s">
        <v>34</v>
      </c>
      <c r="H115" t="s">
        <v>31</v>
      </c>
      <c r="I115" t="s">
        <v>48</v>
      </c>
      <c r="J115">
        <v>1</v>
      </c>
      <c r="K115" t="s">
        <v>18</v>
      </c>
      <c r="L115" t="s">
        <v>27</v>
      </c>
      <c r="M115" t="s">
        <v>49</v>
      </c>
      <c r="N115" t="s">
        <v>17</v>
      </c>
    </row>
    <row r="116" spans="1:14">
      <c r="A116">
        <v>15030</v>
      </c>
      <c r="B116" t="s">
        <v>41</v>
      </c>
      <c r="C116" t="s">
        <v>44</v>
      </c>
      <c r="D116" s="3">
        <v>20000</v>
      </c>
      <c r="E116" s="3" t="s">
        <v>45</v>
      </c>
      <c r="F116">
        <v>0</v>
      </c>
      <c r="G116" t="s">
        <v>15</v>
      </c>
      <c r="H116" t="s">
        <v>22</v>
      </c>
      <c r="I116" t="s">
        <v>7</v>
      </c>
      <c r="J116">
        <v>0</v>
      </c>
      <c r="K116" t="s">
        <v>18</v>
      </c>
      <c r="L116" t="s">
        <v>27</v>
      </c>
      <c r="M116" t="s">
        <v>52</v>
      </c>
      <c r="N116" t="s">
        <v>17</v>
      </c>
    </row>
    <row r="117" spans="1:14">
      <c r="A117">
        <v>24140</v>
      </c>
      <c r="B117" t="s">
        <v>42</v>
      </c>
      <c r="C117" t="s">
        <v>44</v>
      </c>
      <c r="D117" s="3">
        <v>10000</v>
      </c>
      <c r="E117" s="3" t="s">
        <v>45</v>
      </c>
      <c r="F117">
        <v>0</v>
      </c>
      <c r="G117" t="s">
        <v>34</v>
      </c>
      <c r="H117" t="s">
        <v>28</v>
      </c>
      <c r="I117" t="s">
        <v>48</v>
      </c>
      <c r="J117">
        <v>0</v>
      </c>
      <c r="K117" t="s">
        <v>18</v>
      </c>
      <c r="L117" t="s">
        <v>19</v>
      </c>
      <c r="M117" t="s">
        <v>52</v>
      </c>
      <c r="N117" t="s">
        <v>17</v>
      </c>
    </row>
    <row r="118" spans="1:14">
      <c r="A118">
        <v>22496</v>
      </c>
      <c r="B118" t="s">
        <v>41</v>
      </c>
      <c r="C118" t="s">
        <v>43</v>
      </c>
      <c r="D118" s="3">
        <v>30000</v>
      </c>
      <c r="E118" s="3" t="s">
        <v>45</v>
      </c>
      <c r="F118">
        <v>1</v>
      </c>
      <c r="G118" t="s">
        <v>15</v>
      </c>
      <c r="H118" t="s">
        <v>16</v>
      </c>
      <c r="I118" t="s">
        <v>7</v>
      </c>
      <c r="J118">
        <v>2</v>
      </c>
      <c r="K118" t="s">
        <v>18</v>
      </c>
      <c r="L118" t="s">
        <v>19</v>
      </c>
      <c r="M118" t="s">
        <v>49</v>
      </c>
      <c r="N118" t="s">
        <v>20</v>
      </c>
    </row>
    <row r="119" spans="1:14">
      <c r="A119">
        <v>24065</v>
      </c>
      <c r="B119" t="s">
        <v>42</v>
      </c>
      <c r="C119" t="s">
        <v>43</v>
      </c>
      <c r="D119" s="3">
        <v>20000</v>
      </c>
      <c r="E119" s="3" t="s">
        <v>45</v>
      </c>
      <c r="F119">
        <v>0</v>
      </c>
      <c r="G119" t="s">
        <v>30</v>
      </c>
      <c r="H119" t="s">
        <v>28</v>
      </c>
      <c r="I119" t="s">
        <v>7</v>
      </c>
      <c r="J119">
        <v>0</v>
      </c>
      <c r="K119" t="s">
        <v>18</v>
      </c>
      <c r="L119" t="s">
        <v>19</v>
      </c>
      <c r="M119" t="s">
        <v>49</v>
      </c>
      <c r="N119" t="s">
        <v>17</v>
      </c>
    </row>
    <row r="120" spans="1:14">
      <c r="A120">
        <v>19914</v>
      </c>
      <c r="B120" t="s">
        <v>41</v>
      </c>
      <c r="C120" t="s">
        <v>44</v>
      </c>
      <c r="D120" s="3">
        <v>80000</v>
      </c>
      <c r="E120" s="3" t="s">
        <v>46</v>
      </c>
      <c r="F120">
        <v>5</v>
      </c>
      <c r="G120" t="s">
        <v>15</v>
      </c>
      <c r="H120" t="s">
        <v>31</v>
      </c>
      <c r="I120" t="s">
        <v>7</v>
      </c>
      <c r="J120">
        <v>2</v>
      </c>
      <c r="K120" t="s">
        <v>24</v>
      </c>
      <c r="L120" t="s">
        <v>19</v>
      </c>
      <c r="M120" t="s">
        <v>50</v>
      </c>
      <c r="N120" t="s">
        <v>20</v>
      </c>
    </row>
    <row r="121" spans="1:14">
      <c r="A121">
        <v>12871</v>
      </c>
      <c r="B121" t="s">
        <v>42</v>
      </c>
      <c r="C121" t="s">
        <v>43</v>
      </c>
      <c r="D121" s="3">
        <v>30000</v>
      </c>
      <c r="E121" s="3" t="s">
        <v>45</v>
      </c>
      <c r="F121">
        <v>0</v>
      </c>
      <c r="G121" t="s">
        <v>21</v>
      </c>
      <c r="H121" t="s">
        <v>22</v>
      </c>
      <c r="I121" t="s">
        <v>48</v>
      </c>
      <c r="J121">
        <v>1</v>
      </c>
      <c r="K121" t="s">
        <v>24</v>
      </c>
      <c r="L121" t="s">
        <v>19</v>
      </c>
      <c r="M121" t="s">
        <v>52</v>
      </c>
      <c r="N121" t="s">
        <v>20</v>
      </c>
    </row>
    <row r="122" spans="1:14">
      <c r="A122">
        <v>22988</v>
      </c>
      <c r="B122" t="s">
        <v>41</v>
      </c>
      <c r="C122" t="s">
        <v>43</v>
      </c>
      <c r="D122" s="3">
        <v>40000</v>
      </c>
      <c r="E122" s="3" t="s">
        <v>45</v>
      </c>
      <c r="F122">
        <v>2</v>
      </c>
      <c r="G122" t="s">
        <v>15</v>
      </c>
      <c r="H122" t="s">
        <v>31</v>
      </c>
      <c r="I122" t="s">
        <v>7</v>
      </c>
      <c r="J122">
        <v>2</v>
      </c>
      <c r="K122" t="s">
        <v>26</v>
      </c>
      <c r="L122" t="s">
        <v>27</v>
      </c>
      <c r="M122" t="s">
        <v>53</v>
      </c>
      <c r="N122" t="s">
        <v>17</v>
      </c>
    </row>
    <row r="123" spans="1:14">
      <c r="A123">
        <v>15922</v>
      </c>
      <c r="B123" t="s">
        <v>41</v>
      </c>
      <c r="C123" t="s">
        <v>44</v>
      </c>
      <c r="D123" s="3">
        <v>150000</v>
      </c>
      <c r="E123" s="3" t="s">
        <v>47</v>
      </c>
      <c r="F123">
        <v>2</v>
      </c>
      <c r="G123" t="s">
        <v>30</v>
      </c>
      <c r="H123" t="s">
        <v>23</v>
      </c>
      <c r="I123" t="s">
        <v>7</v>
      </c>
      <c r="J123">
        <v>4</v>
      </c>
      <c r="K123" t="s">
        <v>18</v>
      </c>
      <c r="L123" t="s">
        <v>19</v>
      </c>
      <c r="M123" t="s">
        <v>51</v>
      </c>
      <c r="N123" t="s">
        <v>20</v>
      </c>
    </row>
    <row r="124" spans="1:14">
      <c r="A124">
        <v>12344</v>
      </c>
      <c r="B124" t="s">
        <v>42</v>
      </c>
      <c r="C124" t="s">
        <v>43</v>
      </c>
      <c r="D124" s="3">
        <v>80000</v>
      </c>
      <c r="E124" s="3" t="s">
        <v>46</v>
      </c>
      <c r="F124">
        <v>0</v>
      </c>
      <c r="G124" t="s">
        <v>15</v>
      </c>
      <c r="H124" t="s">
        <v>23</v>
      </c>
      <c r="I124" t="s">
        <v>48</v>
      </c>
      <c r="J124">
        <v>3</v>
      </c>
      <c r="K124" t="s">
        <v>33</v>
      </c>
      <c r="L124" t="s">
        <v>27</v>
      </c>
      <c r="M124" t="s">
        <v>52</v>
      </c>
      <c r="N124" t="s">
        <v>20</v>
      </c>
    </row>
    <row r="125" spans="1:14">
      <c r="A125">
        <v>23627</v>
      </c>
      <c r="B125" t="s">
        <v>42</v>
      </c>
      <c r="C125" t="s">
        <v>43</v>
      </c>
      <c r="D125" s="3">
        <v>100000</v>
      </c>
      <c r="E125" s="3" t="s">
        <v>46</v>
      </c>
      <c r="F125">
        <v>3</v>
      </c>
      <c r="G125" t="s">
        <v>21</v>
      </c>
      <c r="H125" t="s">
        <v>31</v>
      </c>
      <c r="I125" t="s">
        <v>48</v>
      </c>
      <c r="J125">
        <v>4</v>
      </c>
      <c r="K125" t="s">
        <v>26</v>
      </c>
      <c r="L125" t="s">
        <v>19</v>
      </c>
      <c r="M125" t="s">
        <v>50</v>
      </c>
      <c r="N125" t="s">
        <v>20</v>
      </c>
    </row>
    <row r="126" spans="1:14">
      <c r="A126">
        <v>27775</v>
      </c>
      <c r="B126" t="s">
        <v>42</v>
      </c>
      <c r="C126" t="s">
        <v>43</v>
      </c>
      <c r="D126" s="3">
        <v>40000</v>
      </c>
      <c r="E126" s="3" t="s">
        <v>45</v>
      </c>
      <c r="F126">
        <v>0</v>
      </c>
      <c r="G126" t="s">
        <v>15</v>
      </c>
      <c r="H126" t="s">
        <v>22</v>
      </c>
      <c r="I126" t="s">
        <v>48</v>
      </c>
      <c r="J126">
        <v>0</v>
      </c>
      <c r="K126" t="s">
        <v>18</v>
      </c>
      <c r="L126" t="s">
        <v>19</v>
      </c>
      <c r="M126" t="s">
        <v>49</v>
      </c>
      <c r="N126" t="s">
        <v>17</v>
      </c>
    </row>
    <row r="127" spans="1:14">
      <c r="A127">
        <v>29301</v>
      </c>
      <c r="B127" t="s">
        <v>41</v>
      </c>
      <c r="C127" t="s">
        <v>44</v>
      </c>
      <c r="D127" s="3">
        <v>80000</v>
      </c>
      <c r="E127" s="3" t="s">
        <v>46</v>
      </c>
      <c r="F127">
        <v>5</v>
      </c>
      <c r="G127" t="s">
        <v>15</v>
      </c>
      <c r="H127" t="s">
        <v>23</v>
      </c>
      <c r="I127" t="s">
        <v>7</v>
      </c>
      <c r="J127">
        <v>4</v>
      </c>
      <c r="K127" t="s">
        <v>29</v>
      </c>
      <c r="L127" t="s">
        <v>27</v>
      </c>
      <c r="M127" t="s">
        <v>49</v>
      </c>
      <c r="N127" t="s">
        <v>20</v>
      </c>
    </row>
    <row r="128" spans="1:14">
      <c r="A128">
        <v>12716</v>
      </c>
      <c r="B128" t="s">
        <v>42</v>
      </c>
      <c r="C128" t="s">
        <v>44</v>
      </c>
      <c r="D128" s="3">
        <v>30000</v>
      </c>
      <c r="E128" s="3" t="s">
        <v>45</v>
      </c>
      <c r="F128">
        <v>0</v>
      </c>
      <c r="G128" t="s">
        <v>21</v>
      </c>
      <c r="H128" t="s">
        <v>22</v>
      </c>
      <c r="I128" t="s">
        <v>7</v>
      </c>
      <c r="J128">
        <v>1</v>
      </c>
      <c r="K128" t="s">
        <v>24</v>
      </c>
      <c r="L128" t="s">
        <v>19</v>
      </c>
      <c r="M128" t="s">
        <v>52</v>
      </c>
      <c r="N128" t="s">
        <v>20</v>
      </c>
    </row>
    <row r="129" spans="1:14">
      <c r="A129">
        <v>12472</v>
      </c>
      <c r="B129" t="s">
        <v>41</v>
      </c>
      <c r="C129" t="s">
        <v>44</v>
      </c>
      <c r="D129" s="3">
        <v>30000</v>
      </c>
      <c r="E129" s="3" t="s">
        <v>45</v>
      </c>
      <c r="F129">
        <v>1</v>
      </c>
      <c r="G129" t="s">
        <v>15</v>
      </c>
      <c r="H129" t="s">
        <v>22</v>
      </c>
      <c r="I129" t="s">
        <v>7</v>
      </c>
      <c r="J129">
        <v>1</v>
      </c>
      <c r="K129" t="s">
        <v>24</v>
      </c>
      <c r="L129" t="s">
        <v>19</v>
      </c>
      <c r="M129" t="s">
        <v>49</v>
      </c>
      <c r="N129" t="s">
        <v>20</v>
      </c>
    </row>
    <row r="130" spans="1:14">
      <c r="A130">
        <v>20970</v>
      </c>
      <c r="B130" t="s">
        <v>42</v>
      </c>
      <c r="C130" t="s">
        <v>44</v>
      </c>
      <c r="D130" s="3">
        <v>10000</v>
      </c>
      <c r="E130" s="3" t="s">
        <v>45</v>
      </c>
      <c r="F130">
        <v>2</v>
      </c>
      <c r="G130" t="s">
        <v>21</v>
      </c>
      <c r="H130" t="s">
        <v>28</v>
      </c>
      <c r="I130" t="s">
        <v>7</v>
      </c>
      <c r="J130">
        <v>1</v>
      </c>
      <c r="K130" t="s">
        <v>18</v>
      </c>
      <c r="L130" t="s">
        <v>19</v>
      </c>
      <c r="M130" t="s">
        <v>51</v>
      </c>
      <c r="N130" t="s">
        <v>17</v>
      </c>
    </row>
    <row r="131" spans="1:14">
      <c r="A131">
        <v>26818</v>
      </c>
      <c r="B131" t="s">
        <v>42</v>
      </c>
      <c r="C131" t="s">
        <v>44</v>
      </c>
      <c r="D131" s="3">
        <v>10000</v>
      </c>
      <c r="E131" s="3" t="s">
        <v>45</v>
      </c>
      <c r="F131">
        <v>3</v>
      </c>
      <c r="G131" t="s">
        <v>30</v>
      </c>
      <c r="H131" t="s">
        <v>28</v>
      </c>
      <c r="I131" t="s">
        <v>7</v>
      </c>
      <c r="J131">
        <v>1</v>
      </c>
      <c r="K131" t="s">
        <v>18</v>
      </c>
      <c r="L131" t="s">
        <v>19</v>
      </c>
      <c r="M131" t="s">
        <v>49</v>
      </c>
      <c r="N131" t="s">
        <v>17</v>
      </c>
    </row>
    <row r="132" spans="1:14">
      <c r="A132">
        <v>12993</v>
      </c>
      <c r="B132" t="s">
        <v>41</v>
      </c>
      <c r="C132" t="s">
        <v>44</v>
      </c>
      <c r="D132" s="3">
        <v>60000</v>
      </c>
      <c r="E132" s="3" t="s">
        <v>46</v>
      </c>
      <c r="F132">
        <v>2</v>
      </c>
      <c r="G132" t="s">
        <v>15</v>
      </c>
      <c r="H132" t="s">
        <v>23</v>
      </c>
      <c r="I132" t="s">
        <v>7</v>
      </c>
      <c r="J132">
        <v>1</v>
      </c>
      <c r="K132" t="s">
        <v>24</v>
      </c>
      <c r="L132" t="s">
        <v>27</v>
      </c>
      <c r="M132" t="s">
        <v>49</v>
      </c>
      <c r="N132" t="s">
        <v>20</v>
      </c>
    </row>
    <row r="133" spans="1:14">
      <c r="A133">
        <v>14192</v>
      </c>
      <c r="B133" t="s">
        <v>41</v>
      </c>
      <c r="C133" t="s">
        <v>44</v>
      </c>
      <c r="D133" s="3">
        <v>90000</v>
      </c>
      <c r="E133" s="3" t="s">
        <v>46</v>
      </c>
      <c r="F133">
        <v>4</v>
      </c>
      <c r="G133" t="s">
        <v>30</v>
      </c>
      <c r="H133" t="s">
        <v>31</v>
      </c>
      <c r="I133" t="s">
        <v>7</v>
      </c>
      <c r="J133">
        <v>3</v>
      </c>
      <c r="K133" t="s">
        <v>26</v>
      </c>
      <c r="L133" t="s">
        <v>19</v>
      </c>
      <c r="M133" t="s">
        <v>50</v>
      </c>
      <c r="N133" t="s">
        <v>17</v>
      </c>
    </row>
    <row r="134" spans="1:14">
      <c r="A134">
        <v>19477</v>
      </c>
      <c r="B134" t="s">
        <v>41</v>
      </c>
      <c r="C134" t="s">
        <v>44</v>
      </c>
      <c r="D134" s="3">
        <v>40000</v>
      </c>
      <c r="E134" s="3" t="s">
        <v>45</v>
      </c>
      <c r="F134">
        <v>0</v>
      </c>
      <c r="G134" t="s">
        <v>15</v>
      </c>
      <c r="H134" t="s">
        <v>23</v>
      </c>
      <c r="I134" t="s">
        <v>7</v>
      </c>
      <c r="J134">
        <v>0</v>
      </c>
      <c r="K134" t="s">
        <v>18</v>
      </c>
      <c r="L134" t="s">
        <v>19</v>
      </c>
      <c r="M134" t="s">
        <v>49</v>
      </c>
      <c r="N134" t="s">
        <v>17</v>
      </c>
    </row>
    <row r="135" spans="1:14">
      <c r="A135">
        <v>26796</v>
      </c>
      <c r="B135" t="s">
        <v>42</v>
      </c>
      <c r="C135" t="s">
        <v>44</v>
      </c>
      <c r="D135" s="3">
        <v>40000</v>
      </c>
      <c r="E135" s="3" t="s">
        <v>45</v>
      </c>
      <c r="F135">
        <v>2</v>
      </c>
      <c r="G135" t="s">
        <v>15</v>
      </c>
      <c r="H135" t="s">
        <v>31</v>
      </c>
      <c r="I135" t="s">
        <v>7</v>
      </c>
      <c r="J135">
        <v>2</v>
      </c>
      <c r="K135" t="s">
        <v>26</v>
      </c>
      <c r="L135" t="s">
        <v>27</v>
      </c>
      <c r="M135" t="s">
        <v>53</v>
      </c>
      <c r="N135" t="s">
        <v>17</v>
      </c>
    </row>
    <row r="136" spans="1:14">
      <c r="A136">
        <v>21094</v>
      </c>
      <c r="B136" t="s">
        <v>42</v>
      </c>
      <c r="C136" t="s">
        <v>43</v>
      </c>
      <c r="D136" s="3">
        <v>30000</v>
      </c>
      <c r="E136" s="3" t="s">
        <v>45</v>
      </c>
      <c r="F136">
        <v>2</v>
      </c>
      <c r="G136" t="s">
        <v>21</v>
      </c>
      <c r="H136" t="s">
        <v>22</v>
      </c>
      <c r="I136" t="s">
        <v>7</v>
      </c>
      <c r="J136">
        <v>2</v>
      </c>
      <c r="K136" t="s">
        <v>18</v>
      </c>
      <c r="L136" t="s">
        <v>19</v>
      </c>
      <c r="M136" t="s">
        <v>49</v>
      </c>
      <c r="N136" t="s">
        <v>20</v>
      </c>
    </row>
    <row r="137" spans="1:14">
      <c r="A137">
        <v>12234</v>
      </c>
      <c r="B137" t="s">
        <v>41</v>
      </c>
      <c r="C137" t="s">
        <v>44</v>
      </c>
      <c r="D137" s="3">
        <v>10000</v>
      </c>
      <c r="E137" s="3" t="s">
        <v>45</v>
      </c>
      <c r="F137">
        <v>2</v>
      </c>
      <c r="G137" t="s">
        <v>21</v>
      </c>
      <c r="H137" t="s">
        <v>28</v>
      </c>
      <c r="I137" t="s">
        <v>7</v>
      </c>
      <c r="J137">
        <v>1</v>
      </c>
      <c r="K137" t="s">
        <v>24</v>
      </c>
      <c r="L137" t="s">
        <v>19</v>
      </c>
      <c r="M137" t="s">
        <v>51</v>
      </c>
      <c r="N137" t="s">
        <v>20</v>
      </c>
    </row>
    <row r="138" spans="1:14">
      <c r="A138">
        <v>28683</v>
      </c>
      <c r="B138" t="s">
        <v>42</v>
      </c>
      <c r="C138" t="s">
        <v>43</v>
      </c>
      <c r="D138" s="3">
        <v>10000</v>
      </c>
      <c r="E138" s="3" t="s">
        <v>45</v>
      </c>
      <c r="F138">
        <v>1</v>
      </c>
      <c r="G138" t="s">
        <v>30</v>
      </c>
      <c r="H138" t="s">
        <v>28</v>
      </c>
      <c r="I138" t="s">
        <v>48</v>
      </c>
      <c r="J138">
        <v>1</v>
      </c>
      <c r="K138" t="s">
        <v>26</v>
      </c>
      <c r="L138" t="s">
        <v>19</v>
      </c>
      <c r="M138" t="s">
        <v>49</v>
      </c>
      <c r="N138" t="s">
        <v>17</v>
      </c>
    </row>
    <row r="139" spans="1:14">
      <c r="A139">
        <v>17994</v>
      </c>
      <c r="B139" t="s">
        <v>42</v>
      </c>
      <c r="C139" t="s">
        <v>44</v>
      </c>
      <c r="D139" s="3">
        <v>20000</v>
      </c>
      <c r="E139" s="3" t="s">
        <v>45</v>
      </c>
      <c r="F139">
        <v>2</v>
      </c>
      <c r="G139" t="s">
        <v>30</v>
      </c>
      <c r="H139" t="s">
        <v>28</v>
      </c>
      <c r="I139" t="s">
        <v>7</v>
      </c>
      <c r="J139">
        <v>2</v>
      </c>
      <c r="K139" t="s">
        <v>18</v>
      </c>
      <c r="L139" t="s">
        <v>19</v>
      </c>
      <c r="M139" t="s">
        <v>49</v>
      </c>
      <c r="N139" t="s">
        <v>20</v>
      </c>
    </row>
    <row r="140" spans="1:14">
      <c r="A140">
        <v>24273</v>
      </c>
      <c r="B140" t="s">
        <v>41</v>
      </c>
      <c r="C140" t="s">
        <v>43</v>
      </c>
      <c r="D140" s="3">
        <v>20000</v>
      </c>
      <c r="E140" s="3" t="s">
        <v>45</v>
      </c>
      <c r="F140">
        <v>2</v>
      </c>
      <c r="G140" t="s">
        <v>32</v>
      </c>
      <c r="H140" t="s">
        <v>22</v>
      </c>
      <c r="I140" t="s">
        <v>7</v>
      </c>
      <c r="J140">
        <v>2</v>
      </c>
      <c r="K140" t="s">
        <v>26</v>
      </c>
      <c r="L140" t="s">
        <v>27</v>
      </c>
      <c r="M140" t="s">
        <v>50</v>
      </c>
      <c r="N140" t="s">
        <v>17</v>
      </c>
    </row>
    <row r="141" spans="1:14">
      <c r="A141">
        <v>26547</v>
      </c>
      <c r="B141" t="s">
        <v>42</v>
      </c>
      <c r="C141" t="s">
        <v>43</v>
      </c>
      <c r="D141" s="3">
        <v>30000</v>
      </c>
      <c r="E141" s="3" t="s">
        <v>45</v>
      </c>
      <c r="F141">
        <v>2</v>
      </c>
      <c r="G141" t="s">
        <v>21</v>
      </c>
      <c r="H141" t="s">
        <v>22</v>
      </c>
      <c r="I141" t="s">
        <v>48</v>
      </c>
      <c r="J141">
        <v>2</v>
      </c>
      <c r="K141" t="s">
        <v>26</v>
      </c>
      <c r="L141" t="s">
        <v>27</v>
      </c>
      <c r="M141" t="s">
        <v>50</v>
      </c>
      <c r="N141" t="s">
        <v>17</v>
      </c>
    </row>
    <row r="142" spans="1:14">
      <c r="A142">
        <v>22500</v>
      </c>
      <c r="B142" t="s">
        <v>42</v>
      </c>
      <c r="C142" t="s">
        <v>44</v>
      </c>
      <c r="D142" s="3">
        <v>40000</v>
      </c>
      <c r="E142" s="3" t="s">
        <v>45</v>
      </c>
      <c r="F142">
        <v>0</v>
      </c>
      <c r="G142" t="s">
        <v>15</v>
      </c>
      <c r="H142" t="s">
        <v>23</v>
      </c>
      <c r="I142" t="s">
        <v>48</v>
      </c>
      <c r="J142">
        <v>0</v>
      </c>
      <c r="K142" t="s">
        <v>18</v>
      </c>
      <c r="L142" t="s">
        <v>19</v>
      </c>
      <c r="M142" t="s">
        <v>49</v>
      </c>
      <c r="N142" t="s">
        <v>17</v>
      </c>
    </row>
    <row r="143" spans="1:14">
      <c r="A143">
        <v>23993</v>
      </c>
      <c r="B143" t="s">
        <v>42</v>
      </c>
      <c r="C143" t="s">
        <v>43</v>
      </c>
      <c r="D143" s="3">
        <v>10000</v>
      </c>
      <c r="E143" s="3" t="s">
        <v>45</v>
      </c>
      <c r="F143">
        <v>0</v>
      </c>
      <c r="G143" t="s">
        <v>21</v>
      </c>
      <c r="H143" t="s">
        <v>28</v>
      </c>
      <c r="I143" t="s">
        <v>48</v>
      </c>
      <c r="J143">
        <v>1</v>
      </c>
      <c r="K143" t="s">
        <v>18</v>
      </c>
      <c r="L143" t="s">
        <v>27</v>
      </c>
      <c r="M143" t="s">
        <v>52</v>
      </c>
      <c r="N143" t="s">
        <v>17</v>
      </c>
    </row>
    <row r="144" spans="1:14">
      <c r="A144">
        <v>14832</v>
      </c>
      <c r="B144" t="s">
        <v>41</v>
      </c>
      <c r="C144" t="s">
        <v>44</v>
      </c>
      <c r="D144" s="3">
        <v>40000</v>
      </c>
      <c r="E144" s="3" t="s">
        <v>45</v>
      </c>
      <c r="F144">
        <v>1</v>
      </c>
      <c r="G144" t="s">
        <v>15</v>
      </c>
      <c r="H144" t="s">
        <v>16</v>
      </c>
      <c r="I144" t="s">
        <v>7</v>
      </c>
      <c r="J144">
        <v>0</v>
      </c>
      <c r="K144" t="s">
        <v>18</v>
      </c>
      <c r="L144" t="s">
        <v>19</v>
      </c>
      <c r="M144" t="s">
        <v>49</v>
      </c>
      <c r="N144" t="s">
        <v>17</v>
      </c>
    </row>
    <row r="145" spans="1:14">
      <c r="A145">
        <v>16614</v>
      </c>
      <c r="B145" t="s">
        <v>41</v>
      </c>
      <c r="C145" t="s">
        <v>43</v>
      </c>
      <c r="D145" s="3">
        <v>80000</v>
      </c>
      <c r="E145" s="3" t="s">
        <v>46</v>
      </c>
      <c r="F145">
        <v>0</v>
      </c>
      <c r="G145" t="s">
        <v>15</v>
      </c>
      <c r="H145" t="s">
        <v>23</v>
      </c>
      <c r="I145" t="s">
        <v>7</v>
      </c>
      <c r="J145">
        <v>3</v>
      </c>
      <c r="K145" t="s">
        <v>33</v>
      </c>
      <c r="L145" t="s">
        <v>27</v>
      </c>
      <c r="M145" t="s">
        <v>52</v>
      </c>
      <c r="N145" t="s">
        <v>20</v>
      </c>
    </row>
    <row r="146" spans="1:14">
      <c r="A146">
        <v>20877</v>
      </c>
      <c r="B146" t="s">
        <v>42</v>
      </c>
      <c r="C146" t="s">
        <v>44</v>
      </c>
      <c r="D146" s="3">
        <v>30000</v>
      </c>
      <c r="E146" s="3" t="s">
        <v>45</v>
      </c>
      <c r="F146">
        <v>1</v>
      </c>
      <c r="G146" t="s">
        <v>15</v>
      </c>
      <c r="H146" t="s">
        <v>22</v>
      </c>
      <c r="I146" t="s">
        <v>7</v>
      </c>
      <c r="J146">
        <v>0</v>
      </c>
      <c r="K146" t="s">
        <v>29</v>
      </c>
      <c r="L146" t="s">
        <v>19</v>
      </c>
      <c r="M146" t="s">
        <v>49</v>
      </c>
      <c r="N146" t="s">
        <v>17</v>
      </c>
    </row>
    <row r="147" spans="1:14">
      <c r="A147">
        <v>20729</v>
      </c>
      <c r="B147" t="s">
        <v>41</v>
      </c>
      <c r="C147" t="s">
        <v>43</v>
      </c>
      <c r="D147" s="3">
        <v>40000</v>
      </c>
      <c r="E147" s="3" t="s">
        <v>45</v>
      </c>
      <c r="F147">
        <v>2</v>
      </c>
      <c r="G147" t="s">
        <v>21</v>
      </c>
      <c r="H147" t="s">
        <v>22</v>
      </c>
      <c r="I147" t="s">
        <v>48</v>
      </c>
      <c r="J147">
        <v>1</v>
      </c>
      <c r="K147" t="s">
        <v>18</v>
      </c>
      <c r="L147" t="s">
        <v>19</v>
      </c>
      <c r="M147" t="s">
        <v>52</v>
      </c>
      <c r="N147" t="s">
        <v>20</v>
      </c>
    </row>
    <row r="148" spans="1:14">
      <c r="A148">
        <v>22464</v>
      </c>
      <c r="B148" t="s">
        <v>41</v>
      </c>
      <c r="C148" t="s">
        <v>44</v>
      </c>
      <c r="D148" s="3">
        <v>40000</v>
      </c>
      <c r="E148" s="3" t="s">
        <v>45</v>
      </c>
      <c r="F148">
        <v>0</v>
      </c>
      <c r="G148" t="s">
        <v>34</v>
      </c>
      <c r="H148" t="s">
        <v>22</v>
      </c>
      <c r="I148" t="s">
        <v>7</v>
      </c>
      <c r="J148">
        <v>0</v>
      </c>
      <c r="K148" t="s">
        <v>18</v>
      </c>
      <c r="L148" t="s">
        <v>19</v>
      </c>
      <c r="M148" t="s">
        <v>49</v>
      </c>
      <c r="N148" t="s">
        <v>17</v>
      </c>
    </row>
    <row r="149" spans="1:14">
      <c r="A149">
        <v>19475</v>
      </c>
      <c r="B149" t="s">
        <v>41</v>
      </c>
      <c r="C149" t="s">
        <v>43</v>
      </c>
      <c r="D149" s="3">
        <v>40000</v>
      </c>
      <c r="E149" s="3" t="s">
        <v>45</v>
      </c>
      <c r="F149">
        <v>0</v>
      </c>
      <c r="G149" t="s">
        <v>15</v>
      </c>
      <c r="H149" t="s">
        <v>23</v>
      </c>
      <c r="I149" t="s">
        <v>48</v>
      </c>
      <c r="J149">
        <v>0</v>
      </c>
      <c r="K149" t="s">
        <v>18</v>
      </c>
      <c r="L149" t="s">
        <v>19</v>
      </c>
      <c r="M149" t="s">
        <v>49</v>
      </c>
      <c r="N149" t="s">
        <v>17</v>
      </c>
    </row>
    <row r="150" spans="1:14">
      <c r="A150">
        <v>19675</v>
      </c>
      <c r="B150" t="s">
        <v>41</v>
      </c>
      <c r="C150" t="s">
        <v>44</v>
      </c>
      <c r="D150" s="3">
        <v>20000</v>
      </c>
      <c r="E150" s="3" t="s">
        <v>45</v>
      </c>
      <c r="F150">
        <v>4</v>
      </c>
      <c r="G150" t="s">
        <v>30</v>
      </c>
      <c r="H150" t="s">
        <v>16</v>
      </c>
      <c r="I150" t="s">
        <v>7</v>
      </c>
      <c r="J150">
        <v>2</v>
      </c>
      <c r="K150" t="s">
        <v>26</v>
      </c>
      <c r="L150" t="s">
        <v>27</v>
      </c>
      <c r="M150" t="s">
        <v>50</v>
      </c>
      <c r="N150" t="s">
        <v>20</v>
      </c>
    </row>
    <row r="151" spans="1:14">
      <c r="A151">
        <v>12728</v>
      </c>
      <c r="B151" t="s">
        <v>42</v>
      </c>
      <c r="C151" t="s">
        <v>44</v>
      </c>
      <c r="D151" s="3">
        <v>30000</v>
      </c>
      <c r="E151" s="3" t="s">
        <v>45</v>
      </c>
      <c r="F151">
        <v>0</v>
      </c>
      <c r="G151" t="s">
        <v>21</v>
      </c>
      <c r="H151" t="s">
        <v>22</v>
      </c>
      <c r="I151" t="s">
        <v>48</v>
      </c>
      <c r="J151">
        <v>1</v>
      </c>
      <c r="K151" t="s">
        <v>29</v>
      </c>
      <c r="L151" t="s">
        <v>19</v>
      </c>
      <c r="M151" t="s">
        <v>52</v>
      </c>
      <c r="N151" t="s">
        <v>20</v>
      </c>
    </row>
    <row r="152" spans="1:14">
      <c r="A152">
        <v>26154</v>
      </c>
      <c r="B152" t="s">
        <v>41</v>
      </c>
      <c r="C152" t="s">
        <v>44</v>
      </c>
      <c r="D152" s="3">
        <v>60000</v>
      </c>
      <c r="E152" s="3" t="s">
        <v>46</v>
      </c>
      <c r="F152">
        <v>1</v>
      </c>
      <c r="G152" t="s">
        <v>21</v>
      </c>
      <c r="H152" t="s">
        <v>16</v>
      </c>
      <c r="I152" t="s">
        <v>7</v>
      </c>
      <c r="J152">
        <v>1</v>
      </c>
      <c r="K152" t="s">
        <v>26</v>
      </c>
      <c r="L152" t="s">
        <v>27</v>
      </c>
      <c r="M152" t="s">
        <v>49</v>
      </c>
      <c r="N152" t="s">
        <v>17</v>
      </c>
    </row>
    <row r="153" spans="1:14">
      <c r="A153">
        <v>29117</v>
      </c>
      <c r="B153" t="s">
        <v>42</v>
      </c>
      <c r="C153" t="s">
        <v>44</v>
      </c>
      <c r="D153" s="3">
        <v>100000</v>
      </c>
      <c r="E153" s="3" t="s">
        <v>46</v>
      </c>
      <c r="F153">
        <v>1</v>
      </c>
      <c r="G153" t="s">
        <v>15</v>
      </c>
      <c r="H153" t="s">
        <v>31</v>
      </c>
      <c r="I153" t="s">
        <v>48</v>
      </c>
      <c r="J153">
        <v>3</v>
      </c>
      <c r="K153" t="s">
        <v>18</v>
      </c>
      <c r="L153" t="s">
        <v>27</v>
      </c>
      <c r="M153" t="s">
        <v>51</v>
      </c>
      <c r="N153" t="s">
        <v>20</v>
      </c>
    </row>
    <row r="154" spans="1:14">
      <c r="A154">
        <v>17845</v>
      </c>
      <c r="B154" t="s">
        <v>42</v>
      </c>
      <c r="C154" t="s">
        <v>43</v>
      </c>
      <c r="D154" s="3">
        <v>20000</v>
      </c>
      <c r="E154" s="3" t="s">
        <v>45</v>
      </c>
      <c r="F154">
        <v>0</v>
      </c>
      <c r="G154" t="s">
        <v>32</v>
      </c>
      <c r="H154" t="s">
        <v>28</v>
      </c>
      <c r="I154" t="s">
        <v>48</v>
      </c>
      <c r="J154">
        <v>2</v>
      </c>
      <c r="K154" t="s">
        <v>29</v>
      </c>
      <c r="L154" t="s">
        <v>19</v>
      </c>
      <c r="M154" t="s">
        <v>52</v>
      </c>
      <c r="N154" t="s">
        <v>20</v>
      </c>
    </row>
    <row r="155" spans="1:14">
      <c r="A155">
        <v>25058</v>
      </c>
      <c r="B155" t="s">
        <v>41</v>
      </c>
      <c r="C155" t="s">
        <v>44</v>
      </c>
      <c r="D155" s="3">
        <v>100000</v>
      </c>
      <c r="E155" s="3" t="s">
        <v>46</v>
      </c>
      <c r="F155">
        <v>1</v>
      </c>
      <c r="G155" t="s">
        <v>15</v>
      </c>
      <c r="H155" t="s">
        <v>31</v>
      </c>
      <c r="I155" t="s">
        <v>7</v>
      </c>
      <c r="J155">
        <v>3</v>
      </c>
      <c r="K155" t="s">
        <v>24</v>
      </c>
      <c r="L155" t="s">
        <v>27</v>
      </c>
      <c r="M155" t="s">
        <v>51</v>
      </c>
      <c r="N155" t="s">
        <v>20</v>
      </c>
    </row>
    <row r="156" spans="1:14">
      <c r="A156">
        <v>23426</v>
      </c>
      <c r="B156" t="s">
        <v>42</v>
      </c>
      <c r="C156" t="s">
        <v>44</v>
      </c>
      <c r="D156" s="3">
        <v>80000</v>
      </c>
      <c r="E156" s="3" t="s">
        <v>46</v>
      </c>
      <c r="F156">
        <v>5</v>
      </c>
      <c r="G156" t="s">
        <v>34</v>
      </c>
      <c r="H156" t="s">
        <v>31</v>
      </c>
      <c r="I156" t="s">
        <v>7</v>
      </c>
      <c r="J156">
        <v>3</v>
      </c>
      <c r="K156" t="s">
        <v>18</v>
      </c>
      <c r="L156" t="s">
        <v>27</v>
      </c>
      <c r="M156" t="s">
        <v>49</v>
      </c>
      <c r="N156" t="s">
        <v>20</v>
      </c>
    </row>
    <row r="157" spans="1:14">
      <c r="A157">
        <v>14798</v>
      </c>
      <c r="B157" t="s">
        <v>42</v>
      </c>
      <c r="C157" t="s">
        <v>43</v>
      </c>
      <c r="D157" s="3">
        <v>10000</v>
      </c>
      <c r="E157" s="3" t="s">
        <v>45</v>
      </c>
      <c r="F157">
        <v>4</v>
      </c>
      <c r="G157" t="s">
        <v>32</v>
      </c>
      <c r="H157" t="s">
        <v>28</v>
      </c>
      <c r="I157" t="s">
        <v>7</v>
      </c>
      <c r="J157">
        <v>2</v>
      </c>
      <c r="K157" t="s">
        <v>18</v>
      </c>
      <c r="L157" t="s">
        <v>19</v>
      </c>
      <c r="M157" t="s">
        <v>49</v>
      </c>
      <c r="N157" t="s">
        <v>17</v>
      </c>
    </row>
    <row r="158" spans="1:14">
      <c r="A158">
        <v>12664</v>
      </c>
      <c r="B158" t="s">
        <v>41</v>
      </c>
      <c r="C158" t="s">
        <v>43</v>
      </c>
      <c r="D158" s="3">
        <v>130000</v>
      </c>
      <c r="E158" s="3" t="s">
        <v>47</v>
      </c>
      <c r="F158">
        <v>5</v>
      </c>
      <c r="G158" t="s">
        <v>21</v>
      </c>
      <c r="H158" t="s">
        <v>23</v>
      </c>
      <c r="I158" t="s">
        <v>7</v>
      </c>
      <c r="J158">
        <v>4</v>
      </c>
      <c r="K158" t="s">
        <v>18</v>
      </c>
      <c r="L158" t="s">
        <v>19</v>
      </c>
      <c r="M158" t="s">
        <v>50</v>
      </c>
      <c r="N158" t="s">
        <v>20</v>
      </c>
    </row>
    <row r="159" spans="1:14">
      <c r="A159">
        <v>23979</v>
      </c>
      <c r="B159" t="s">
        <v>42</v>
      </c>
      <c r="C159" t="s">
        <v>44</v>
      </c>
      <c r="D159" s="3">
        <v>10000</v>
      </c>
      <c r="E159" s="3" t="s">
        <v>45</v>
      </c>
      <c r="F159">
        <v>2</v>
      </c>
      <c r="G159" t="s">
        <v>21</v>
      </c>
      <c r="H159" t="s">
        <v>28</v>
      </c>
      <c r="I159" t="s">
        <v>48</v>
      </c>
      <c r="J159">
        <v>0</v>
      </c>
      <c r="K159" t="s">
        <v>18</v>
      </c>
      <c r="L159" t="s">
        <v>19</v>
      </c>
      <c r="M159" t="s">
        <v>51</v>
      </c>
      <c r="N159" t="s">
        <v>20</v>
      </c>
    </row>
    <row r="160" spans="1:14">
      <c r="A160">
        <v>25605</v>
      </c>
      <c r="B160" t="s">
        <v>42</v>
      </c>
      <c r="C160" t="s">
        <v>43</v>
      </c>
      <c r="D160" s="3">
        <v>20000</v>
      </c>
      <c r="E160" s="3" t="s">
        <v>45</v>
      </c>
      <c r="F160">
        <v>2</v>
      </c>
      <c r="G160" t="s">
        <v>21</v>
      </c>
      <c r="H160" t="s">
        <v>28</v>
      </c>
      <c r="I160" t="s">
        <v>48</v>
      </c>
      <c r="J160">
        <v>1</v>
      </c>
      <c r="K160" t="s">
        <v>18</v>
      </c>
      <c r="L160" t="s">
        <v>19</v>
      </c>
      <c r="M160" t="s">
        <v>51</v>
      </c>
      <c r="N160" t="s">
        <v>17</v>
      </c>
    </row>
    <row r="161" spans="1:14">
      <c r="A161">
        <v>20797</v>
      </c>
      <c r="B161" t="s">
        <v>41</v>
      </c>
      <c r="C161" t="s">
        <v>43</v>
      </c>
      <c r="D161" s="3">
        <v>10000</v>
      </c>
      <c r="E161" s="3" t="s">
        <v>45</v>
      </c>
      <c r="F161">
        <v>1</v>
      </c>
      <c r="G161" t="s">
        <v>15</v>
      </c>
      <c r="H161" t="s">
        <v>28</v>
      </c>
      <c r="I161" t="s">
        <v>7</v>
      </c>
      <c r="J161">
        <v>0</v>
      </c>
      <c r="K161" t="s">
        <v>18</v>
      </c>
      <c r="L161" t="s">
        <v>19</v>
      </c>
      <c r="M161" t="s">
        <v>51</v>
      </c>
      <c r="N161" t="s">
        <v>20</v>
      </c>
    </row>
    <row r="162" spans="1:14">
      <c r="A162">
        <v>21980</v>
      </c>
      <c r="B162" t="s">
        <v>42</v>
      </c>
      <c r="C162" t="s">
        <v>43</v>
      </c>
      <c r="D162" s="3">
        <v>60000</v>
      </c>
      <c r="E162" s="3" t="s">
        <v>46</v>
      </c>
      <c r="F162">
        <v>1</v>
      </c>
      <c r="G162" t="s">
        <v>15</v>
      </c>
      <c r="H162" t="s">
        <v>23</v>
      </c>
      <c r="I162" t="s">
        <v>7</v>
      </c>
      <c r="J162">
        <v>1</v>
      </c>
      <c r="K162" t="s">
        <v>26</v>
      </c>
      <c r="L162" t="s">
        <v>27</v>
      </c>
      <c r="M162" t="s">
        <v>49</v>
      </c>
      <c r="N162" t="s">
        <v>17</v>
      </c>
    </row>
    <row r="163" spans="1:14">
      <c r="A163">
        <v>25460</v>
      </c>
      <c r="B163" t="s">
        <v>41</v>
      </c>
      <c r="C163" t="s">
        <v>43</v>
      </c>
      <c r="D163" s="3">
        <v>20000</v>
      </c>
      <c r="E163" s="3" t="s">
        <v>45</v>
      </c>
      <c r="F163">
        <v>2</v>
      </c>
      <c r="G163" t="s">
        <v>30</v>
      </c>
      <c r="H163" t="s">
        <v>28</v>
      </c>
      <c r="I163" t="s">
        <v>7</v>
      </c>
      <c r="J163">
        <v>0</v>
      </c>
      <c r="K163" t="s">
        <v>18</v>
      </c>
      <c r="L163" t="s">
        <v>19</v>
      </c>
      <c r="M163" t="s">
        <v>49</v>
      </c>
      <c r="N163" t="s">
        <v>17</v>
      </c>
    </row>
    <row r="164" spans="1:14">
      <c r="A164">
        <v>29181</v>
      </c>
      <c r="B164" t="s">
        <v>42</v>
      </c>
      <c r="C164" t="s">
        <v>43</v>
      </c>
      <c r="D164" s="3">
        <v>60000</v>
      </c>
      <c r="E164" s="3" t="s">
        <v>46</v>
      </c>
      <c r="F164">
        <v>2</v>
      </c>
      <c r="G164" t="s">
        <v>15</v>
      </c>
      <c r="H164" t="s">
        <v>23</v>
      </c>
      <c r="I164" t="s">
        <v>48</v>
      </c>
      <c r="J164">
        <v>1</v>
      </c>
      <c r="K164" t="s">
        <v>18</v>
      </c>
      <c r="L164" t="s">
        <v>27</v>
      </c>
      <c r="M164" t="s">
        <v>49</v>
      </c>
      <c r="N164" t="s">
        <v>17</v>
      </c>
    </row>
    <row r="165" spans="1:14">
      <c r="A165">
        <v>24279</v>
      </c>
      <c r="B165" t="s">
        <v>42</v>
      </c>
      <c r="C165" t="s">
        <v>44</v>
      </c>
      <c r="D165" s="3">
        <v>40000</v>
      </c>
      <c r="E165" s="3" t="s">
        <v>45</v>
      </c>
      <c r="F165">
        <v>2</v>
      </c>
      <c r="G165" t="s">
        <v>21</v>
      </c>
      <c r="H165" t="s">
        <v>16</v>
      </c>
      <c r="I165" t="s">
        <v>48</v>
      </c>
      <c r="J165">
        <v>2</v>
      </c>
      <c r="K165" t="s">
        <v>29</v>
      </c>
      <c r="L165" t="s">
        <v>27</v>
      </c>
      <c r="M165" t="s">
        <v>51</v>
      </c>
      <c r="N165" t="s">
        <v>20</v>
      </c>
    </row>
    <row r="166" spans="1:14">
      <c r="A166">
        <v>22402</v>
      </c>
      <c r="B166" t="s">
        <v>41</v>
      </c>
      <c r="C166" t="s">
        <v>44</v>
      </c>
      <c r="D166" s="3">
        <v>10000</v>
      </c>
      <c r="E166" s="3" t="s">
        <v>45</v>
      </c>
      <c r="F166">
        <v>0</v>
      </c>
      <c r="G166" t="s">
        <v>21</v>
      </c>
      <c r="H166" t="s">
        <v>28</v>
      </c>
      <c r="I166" t="s">
        <v>7</v>
      </c>
      <c r="J166">
        <v>1</v>
      </c>
      <c r="K166" t="s">
        <v>24</v>
      </c>
      <c r="L166" t="s">
        <v>27</v>
      </c>
      <c r="M166" t="s">
        <v>52</v>
      </c>
      <c r="N166" t="s">
        <v>17</v>
      </c>
    </row>
    <row r="167" spans="1:14">
      <c r="A167">
        <v>15465</v>
      </c>
      <c r="B167" t="s">
        <v>41</v>
      </c>
      <c r="C167" t="s">
        <v>43</v>
      </c>
      <c r="D167" s="3">
        <v>10000</v>
      </c>
      <c r="E167" s="3" t="s">
        <v>45</v>
      </c>
      <c r="F167">
        <v>0</v>
      </c>
      <c r="G167" t="s">
        <v>21</v>
      </c>
      <c r="H167" t="s">
        <v>28</v>
      </c>
      <c r="I167" t="s">
        <v>48</v>
      </c>
      <c r="J167">
        <v>1</v>
      </c>
      <c r="K167" t="s">
        <v>18</v>
      </c>
      <c r="L167" t="s">
        <v>27</v>
      </c>
      <c r="M167" t="s">
        <v>52</v>
      </c>
      <c r="N167" t="s">
        <v>20</v>
      </c>
    </row>
    <row r="168" spans="1:14">
      <c r="A168">
        <v>26757</v>
      </c>
      <c r="B168" t="s">
        <v>42</v>
      </c>
      <c r="C168" t="s">
        <v>44</v>
      </c>
      <c r="D168" s="3">
        <v>90000</v>
      </c>
      <c r="E168" s="3" t="s">
        <v>46</v>
      </c>
      <c r="F168">
        <v>1</v>
      </c>
      <c r="G168" t="s">
        <v>15</v>
      </c>
      <c r="H168" t="s">
        <v>23</v>
      </c>
      <c r="I168" t="s">
        <v>7</v>
      </c>
      <c r="J168">
        <v>1</v>
      </c>
      <c r="K168" t="s">
        <v>24</v>
      </c>
      <c r="L168" t="s">
        <v>27</v>
      </c>
      <c r="M168" t="s">
        <v>51</v>
      </c>
      <c r="N168" t="s">
        <v>17</v>
      </c>
    </row>
    <row r="169" spans="1:14">
      <c r="A169">
        <v>14233</v>
      </c>
      <c r="B169" t="s">
        <v>42</v>
      </c>
      <c r="C169" t="s">
        <v>44</v>
      </c>
      <c r="D169" s="3">
        <v>100000</v>
      </c>
      <c r="E169" s="3" t="s">
        <v>46</v>
      </c>
      <c r="F169">
        <v>0</v>
      </c>
      <c r="G169" t="s">
        <v>30</v>
      </c>
      <c r="H169" t="s">
        <v>31</v>
      </c>
      <c r="I169" t="s">
        <v>7</v>
      </c>
      <c r="J169">
        <v>3</v>
      </c>
      <c r="K169" t="s">
        <v>33</v>
      </c>
      <c r="L169" t="s">
        <v>27</v>
      </c>
      <c r="M169" t="s">
        <v>49</v>
      </c>
      <c r="N169" t="s">
        <v>20</v>
      </c>
    </row>
    <row r="170" spans="1:14">
      <c r="A170">
        <v>14058</v>
      </c>
      <c r="B170" t="s">
        <v>42</v>
      </c>
      <c r="C170" t="s">
        <v>44</v>
      </c>
      <c r="D170" s="3">
        <v>70000</v>
      </c>
      <c r="E170" s="3" t="s">
        <v>46</v>
      </c>
      <c r="F170">
        <v>0</v>
      </c>
      <c r="G170" t="s">
        <v>15</v>
      </c>
      <c r="H170" t="s">
        <v>23</v>
      </c>
      <c r="I170" t="s">
        <v>48</v>
      </c>
      <c r="J170">
        <v>1</v>
      </c>
      <c r="K170" t="s">
        <v>26</v>
      </c>
      <c r="L170" t="s">
        <v>27</v>
      </c>
      <c r="M170" t="s">
        <v>49</v>
      </c>
      <c r="N170" t="s">
        <v>17</v>
      </c>
    </row>
    <row r="171" spans="1:14">
      <c r="A171">
        <v>12273</v>
      </c>
      <c r="B171" t="s">
        <v>41</v>
      </c>
      <c r="C171" t="s">
        <v>44</v>
      </c>
      <c r="D171" s="3">
        <v>30000</v>
      </c>
      <c r="E171" s="3" t="s">
        <v>45</v>
      </c>
      <c r="F171">
        <v>1</v>
      </c>
      <c r="G171" t="s">
        <v>15</v>
      </c>
      <c r="H171" t="s">
        <v>22</v>
      </c>
      <c r="I171" t="s">
        <v>7</v>
      </c>
      <c r="J171">
        <v>0</v>
      </c>
      <c r="K171" t="s">
        <v>18</v>
      </c>
      <c r="L171" t="s">
        <v>19</v>
      </c>
      <c r="M171" t="s">
        <v>51</v>
      </c>
      <c r="N171" t="s">
        <v>20</v>
      </c>
    </row>
    <row r="172" spans="1:14">
      <c r="A172">
        <v>17203</v>
      </c>
      <c r="B172" t="s">
        <v>41</v>
      </c>
      <c r="C172" t="s">
        <v>43</v>
      </c>
      <c r="D172" s="3">
        <v>130000</v>
      </c>
      <c r="E172" s="3" t="s">
        <v>47</v>
      </c>
      <c r="F172">
        <v>4</v>
      </c>
      <c r="G172" t="s">
        <v>21</v>
      </c>
      <c r="H172" t="s">
        <v>23</v>
      </c>
      <c r="I172" t="s">
        <v>7</v>
      </c>
      <c r="J172">
        <v>4</v>
      </c>
      <c r="K172" t="s">
        <v>26</v>
      </c>
      <c r="L172" t="s">
        <v>19</v>
      </c>
      <c r="M172" t="s">
        <v>50</v>
      </c>
      <c r="N172" t="s">
        <v>17</v>
      </c>
    </row>
    <row r="173" spans="1:14">
      <c r="A173">
        <v>18144</v>
      </c>
      <c r="B173" t="s">
        <v>41</v>
      </c>
      <c r="C173" t="s">
        <v>43</v>
      </c>
      <c r="D173" s="3">
        <v>80000</v>
      </c>
      <c r="E173" s="3" t="s">
        <v>46</v>
      </c>
      <c r="F173">
        <v>5</v>
      </c>
      <c r="G173" t="s">
        <v>15</v>
      </c>
      <c r="H173" t="s">
        <v>31</v>
      </c>
      <c r="I173" t="s">
        <v>7</v>
      </c>
      <c r="J173">
        <v>2</v>
      </c>
      <c r="K173" t="s">
        <v>24</v>
      </c>
      <c r="L173" t="s">
        <v>19</v>
      </c>
      <c r="M173" t="s">
        <v>50</v>
      </c>
      <c r="N173" t="s">
        <v>20</v>
      </c>
    </row>
    <row r="174" spans="1:14">
      <c r="A174">
        <v>23963</v>
      </c>
      <c r="B174" t="s">
        <v>41</v>
      </c>
      <c r="C174" t="s">
        <v>44</v>
      </c>
      <c r="D174" s="3">
        <v>10000</v>
      </c>
      <c r="E174" s="3" t="s">
        <v>45</v>
      </c>
      <c r="F174">
        <v>0</v>
      </c>
      <c r="G174" t="s">
        <v>32</v>
      </c>
      <c r="H174" t="s">
        <v>28</v>
      </c>
      <c r="I174" t="s">
        <v>48</v>
      </c>
      <c r="J174">
        <v>2</v>
      </c>
      <c r="K174" t="s">
        <v>18</v>
      </c>
      <c r="L174" t="s">
        <v>19</v>
      </c>
      <c r="M174" t="s">
        <v>52</v>
      </c>
      <c r="N174" t="s">
        <v>20</v>
      </c>
    </row>
    <row r="175" spans="1:14">
      <c r="A175">
        <v>17907</v>
      </c>
      <c r="B175" t="s">
        <v>41</v>
      </c>
      <c r="C175" t="s">
        <v>43</v>
      </c>
      <c r="D175" s="3">
        <v>10000</v>
      </c>
      <c r="E175" s="3" t="s">
        <v>45</v>
      </c>
      <c r="F175">
        <v>0</v>
      </c>
      <c r="G175" t="s">
        <v>21</v>
      </c>
      <c r="H175" t="s">
        <v>28</v>
      </c>
      <c r="I175" t="s">
        <v>7</v>
      </c>
      <c r="J175">
        <v>1</v>
      </c>
      <c r="K175" t="s">
        <v>24</v>
      </c>
      <c r="L175" t="s">
        <v>27</v>
      </c>
      <c r="M175" t="s">
        <v>52</v>
      </c>
      <c r="N175" t="s">
        <v>20</v>
      </c>
    </row>
    <row r="176" spans="1:14">
      <c r="A176">
        <v>19442</v>
      </c>
      <c r="B176" t="s">
        <v>42</v>
      </c>
      <c r="C176" t="s">
        <v>44</v>
      </c>
      <c r="D176" s="3">
        <v>50000</v>
      </c>
      <c r="E176" s="3" t="s">
        <v>45</v>
      </c>
      <c r="F176">
        <v>0</v>
      </c>
      <c r="G176" t="s">
        <v>34</v>
      </c>
      <c r="H176" t="s">
        <v>16</v>
      </c>
      <c r="I176" t="s">
        <v>7</v>
      </c>
      <c r="J176">
        <v>0</v>
      </c>
      <c r="K176" t="s">
        <v>18</v>
      </c>
      <c r="L176" t="s">
        <v>19</v>
      </c>
      <c r="M176" t="s">
        <v>49</v>
      </c>
      <c r="N176" t="s">
        <v>17</v>
      </c>
    </row>
    <row r="177" spans="1:14">
      <c r="A177">
        <v>17504</v>
      </c>
      <c r="B177" t="s">
        <v>42</v>
      </c>
      <c r="C177" t="s">
        <v>43</v>
      </c>
      <c r="D177" s="3">
        <v>80000</v>
      </c>
      <c r="E177" s="3" t="s">
        <v>46</v>
      </c>
      <c r="F177">
        <v>2</v>
      </c>
      <c r="G177" t="s">
        <v>21</v>
      </c>
      <c r="H177" t="s">
        <v>16</v>
      </c>
      <c r="I177" t="s">
        <v>7</v>
      </c>
      <c r="J177">
        <v>2</v>
      </c>
      <c r="K177" t="s">
        <v>26</v>
      </c>
      <c r="L177" t="s">
        <v>27</v>
      </c>
      <c r="M177" t="s">
        <v>51</v>
      </c>
      <c r="N177" t="s">
        <v>17</v>
      </c>
    </row>
    <row r="178" spans="1:14">
      <c r="A178">
        <v>12253</v>
      </c>
      <c r="B178" t="s">
        <v>42</v>
      </c>
      <c r="C178" t="s">
        <v>43</v>
      </c>
      <c r="D178" s="3">
        <v>20000</v>
      </c>
      <c r="E178" s="3" t="s">
        <v>45</v>
      </c>
      <c r="F178">
        <v>0</v>
      </c>
      <c r="G178" t="s">
        <v>21</v>
      </c>
      <c r="H178" t="s">
        <v>28</v>
      </c>
      <c r="I178" t="s">
        <v>7</v>
      </c>
      <c r="J178">
        <v>0</v>
      </c>
      <c r="K178" t="s">
        <v>18</v>
      </c>
      <c r="L178" t="s">
        <v>27</v>
      </c>
      <c r="M178" t="s">
        <v>52</v>
      </c>
      <c r="N178" t="s">
        <v>17</v>
      </c>
    </row>
    <row r="179" spans="1:14">
      <c r="A179">
        <v>27304</v>
      </c>
      <c r="B179" t="s">
        <v>42</v>
      </c>
      <c r="C179" t="s">
        <v>43</v>
      </c>
      <c r="D179" s="3">
        <v>110000</v>
      </c>
      <c r="E179" s="3" t="s">
        <v>46</v>
      </c>
      <c r="F179">
        <v>2</v>
      </c>
      <c r="G179" t="s">
        <v>21</v>
      </c>
      <c r="H179" t="s">
        <v>23</v>
      </c>
      <c r="I179" t="s">
        <v>48</v>
      </c>
      <c r="J179">
        <v>3</v>
      </c>
      <c r="K179" t="s">
        <v>26</v>
      </c>
      <c r="L179" t="s">
        <v>19</v>
      </c>
      <c r="M179" t="s">
        <v>51</v>
      </c>
      <c r="N179" t="s">
        <v>20</v>
      </c>
    </row>
    <row r="180" spans="1:14">
      <c r="A180">
        <v>14191</v>
      </c>
      <c r="B180" t="s">
        <v>41</v>
      </c>
      <c r="C180" t="s">
        <v>44</v>
      </c>
      <c r="D180" s="3">
        <v>160000</v>
      </c>
      <c r="E180" s="3" t="s">
        <v>47</v>
      </c>
      <c r="F180">
        <v>4</v>
      </c>
      <c r="G180" t="s">
        <v>21</v>
      </c>
      <c r="H180" t="s">
        <v>23</v>
      </c>
      <c r="I180" t="s">
        <v>48</v>
      </c>
      <c r="J180">
        <v>2</v>
      </c>
      <c r="K180" t="s">
        <v>33</v>
      </c>
      <c r="L180" t="s">
        <v>19</v>
      </c>
      <c r="M180" t="s">
        <v>50</v>
      </c>
      <c r="N180" t="s">
        <v>17</v>
      </c>
    </row>
    <row r="181" spans="1:14">
      <c r="A181">
        <v>12212</v>
      </c>
      <c r="B181" t="s">
        <v>41</v>
      </c>
      <c r="C181" t="s">
        <v>43</v>
      </c>
      <c r="D181" s="3">
        <v>10000</v>
      </c>
      <c r="E181" s="3" t="s">
        <v>45</v>
      </c>
      <c r="F181">
        <v>0</v>
      </c>
      <c r="G181" t="s">
        <v>34</v>
      </c>
      <c r="H181" t="s">
        <v>28</v>
      </c>
      <c r="I181" t="s">
        <v>7</v>
      </c>
      <c r="J181">
        <v>0</v>
      </c>
      <c r="K181" t="s">
        <v>18</v>
      </c>
      <c r="L181" t="s">
        <v>19</v>
      </c>
      <c r="M181" t="s">
        <v>49</v>
      </c>
      <c r="N181" t="s">
        <v>17</v>
      </c>
    </row>
    <row r="182" spans="1:14">
      <c r="A182">
        <v>25529</v>
      </c>
      <c r="B182" t="s">
        <v>42</v>
      </c>
      <c r="C182" t="s">
        <v>44</v>
      </c>
      <c r="D182" s="3">
        <v>10000</v>
      </c>
      <c r="E182" s="3" t="s">
        <v>45</v>
      </c>
      <c r="F182">
        <v>1</v>
      </c>
      <c r="G182" t="s">
        <v>34</v>
      </c>
      <c r="H182" t="s">
        <v>28</v>
      </c>
      <c r="I182" t="s">
        <v>7</v>
      </c>
      <c r="J182">
        <v>0</v>
      </c>
      <c r="K182" t="s">
        <v>18</v>
      </c>
      <c r="L182" t="s">
        <v>19</v>
      </c>
      <c r="M182" t="s">
        <v>49</v>
      </c>
      <c r="N182" t="s">
        <v>20</v>
      </c>
    </row>
    <row r="183" spans="1:14">
      <c r="A183">
        <v>22170</v>
      </c>
      <c r="B183" t="s">
        <v>41</v>
      </c>
      <c r="C183" t="s">
        <v>43</v>
      </c>
      <c r="D183" s="3">
        <v>30000</v>
      </c>
      <c r="E183" s="3" t="s">
        <v>45</v>
      </c>
      <c r="F183">
        <v>3</v>
      </c>
      <c r="G183" t="s">
        <v>21</v>
      </c>
      <c r="H183" t="s">
        <v>22</v>
      </c>
      <c r="I183" t="s">
        <v>48</v>
      </c>
      <c r="J183">
        <v>2</v>
      </c>
      <c r="K183" t="s">
        <v>29</v>
      </c>
      <c r="L183" t="s">
        <v>27</v>
      </c>
      <c r="M183" t="s">
        <v>50</v>
      </c>
      <c r="N183" t="s">
        <v>17</v>
      </c>
    </row>
    <row r="184" spans="1:14">
      <c r="A184">
        <v>19445</v>
      </c>
      <c r="B184" t="s">
        <v>41</v>
      </c>
      <c r="C184" t="s">
        <v>43</v>
      </c>
      <c r="D184" s="3">
        <v>10000</v>
      </c>
      <c r="E184" s="3" t="s">
        <v>45</v>
      </c>
      <c r="F184">
        <v>2</v>
      </c>
      <c r="G184" t="s">
        <v>30</v>
      </c>
      <c r="H184" t="s">
        <v>28</v>
      </c>
      <c r="I184" t="s">
        <v>48</v>
      </c>
      <c r="J184">
        <v>1</v>
      </c>
      <c r="K184" t="s">
        <v>18</v>
      </c>
      <c r="L184" t="s">
        <v>19</v>
      </c>
      <c r="M184" t="s">
        <v>49</v>
      </c>
      <c r="N184" t="s">
        <v>20</v>
      </c>
    </row>
    <row r="185" spans="1:14">
      <c r="A185">
        <v>15265</v>
      </c>
      <c r="B185" t="s">
        <v>42</v>
      </c>
      <c r="C185" t="s">
        <v>44</v>
      </c>
      <c r="D185" s="3">
        <v>40000</v>
      </c>
      <c r="E185" s="3" t="s">
        <v>45</v>
      </c>
      <c r="F185">
        <v>2</v>
      </c>
      <c r="G185" t="s">
        <v>15</v>
      </c>
      <c r="H185" t="s">
        <v>31</v>
      </c>
      <c r="I185" t="s">
        <v>7</v>
      </c>
      <c r="J185">
        <v>2</v>
      </c>
      <c r="K185" t="s">
        <v>26</v>
      </c>
      <c r="L185" t="s">
        <v>27</v>
      </c>
      <c r="M185" t="s">
        <v>53</v>
      </c>
      <c r="N185" t="s">
        <v>17</v>
      </c>
    </row>
    <row r="186" spans="1:14">
      <c r="A186">
        <v>28918</v>
      </c>
      <c r="B186" t="s">
        <v>41</v>
      </c>
      <c r="C186" t="s">
        <v>43</v>
      </c>
      <c r="D186" s="3">
        <v>130000</v>
      </c>
      <c r="E186" s="3" t="s">
        <v>47</v>
      </c>
      <c r="F186">
        <v>4</v>
      </c>
      <c r="G186" t="s">
        <v>30</v>
      </c>
      <c r="H186" t="s">
        <v>31</v>
      </c>
      <c r="I186" t="s">
        <v>48</v>
      </c>
      <c r="J186">
        <v>4</v>
      </c>
      <c r="K186" t="s">
        <v>33</v>
      </c>
      <c r="L186" t="s">
        <v>19</v>
      </c>
      <c r="M186" t="s">
        <v>50</v>
      </c>
      <c r="N186" t="s">
        <v>20</v>
      </c>
    </row>
    <row r="187" spans="1:14">
      <c r="A187">
        <v>15799</v>
      </c>
      <c r="B187" t="s">
        <v>41</v>
      </c>
      <c r="C187" t="s">
        <v>43</v>
      </c>
      <c r="D187" s="3">
        <v>90000</v>
      </c>
      <c r="E187" s="3" t="s">
        <v>46</v>
      </c>
      <c r="F187">
        <v>1</v>
      </c>
      <c r="G187" t="s">
        <v>15</v>
      </c>
      <c r="H187" t="s">
        <v>23</v>
      </c>
      <c r="I187" t="s">
        <v>7</v>
      </c>
      <c r="J187">
        <v>1</v>
      </c>
      <c r="K187" t="s">
        <v>24</v>
      </c>
      <c r="L187" t="s">
        <v>27</v>
      </c>
      <c r="M187" t="s">
        <v>51</v>
      </c>
      <c r="N187" t="s">
        <v>17</v>
      </c>
    </row>
    <row r="188" spans="1:14">
      <c r="A188">
        <v>11047</v>
      </c>
      <c r="B188" t="s">
        <v>41</v>
      </c>
      <c r="C188" t="s">
        <v>43</v>
      </c>
      <c r="D188" s="3">
        <v>30000</v>
      </c>
      <c r="E188" s="3" t="s">
        <v>45</v>
      </c>
      <c r="F188">
        <v>3</v>
      </c>
      <c r="G188" t="s">
        <v>30</v>
      </c>
      <c r="H188" t="s">
        <v>16</v>
      </c>
      <c r="I188" t="s">
        <v>48</v>
      </c>
      <c r="J188">
        <v>2</v>
      </c>
      <c r="K188" t="s">
        <v>29</v>
      </c>
      <c r="L188" t="s">
        <v>27</v>
      </c>
      <c r="M188" t="s">
        <v>50</v>
      </c>
      <c r="N188" t="s">
        <v>17</v>
      </c>
    </row>
    <row r="189" spans="1:14">
      <c r="A189">
        <v>18151</v>
      </c>
      <c r="B189" t="s">
        <v>42</v>
      </c>
      <c r="C189" t="s">
        <v>44</v>
      </c>
      <c r="D189" s="3">
        <v>80000</v>
      </c>
      <c r="E189" s="3" t="s">
        <v>46</v>
      </c>
      <c r="F189">
        <v>5</v>
      </c>
      <c r="G189" t="s">
        <v>21</v>
      </c>
      <c r="H189" t="s">
        <v>23</v>
      </c>
      <c r="I189" t="s">
        <v>48</v>
      </c>
      <c r="J189">
        <v>2</v>
      </c>
      <c r="K189" t="s">
        <v>33</v>
      </c>
      <c r="L189" t="s">
        <v>19</v>
      </c>
      <c r="M189" t="s">
        <v>50</v>
      </c>
      <c r="N189" t="s">
        <v>20</v>
      </c>
    </row>
    <row r="190" spans="1:14">
      <c r="A190">
        <v>20606</v>
      </c>
      <c r="B190" t="s">
        <v>41</v>
      </c>
      <c r="C190" t="s">
        <v>43</v>
      </c>
      <c r="D190" s="3">
        <v>70000</v>
      </c>
      <c r="E190" s="3" t="s">
        <v>46</v>
      </c>
      <c r="F190">
        <v>0</v>
      </c>
      <c r="G190" t="s">
        <v>15</v>
      </c>
      <c r="H190" t="s">
        <v>23</v>
      </c>
      <c r="I190" t="s">
        <v>7</v>
      </c>
      <c r="J190">
        <v>4</v>
      </c>
      <c r="K190" t="s">
        <v>33</v>
      </c>
      <c r="L190" t="s">
        <v>27</v>
      </c>
      <c r="M190" t="s">
        <v>52</v>
      </c>
      <c r="N190" t="s">
        <v>17</v>
      </c>
    </row>
    <row r="191" spans="1:14">
      <c r="A191">
        <v>19482</v>
      </c>
      <c r="B191" t="s">
        <v>41</v>
      </c>
      <c r="C191" t="s">
        <v>44</v>
      </c>
      <c r="D191" s="3">
        <v>30000</v>
      </c>
      <c r="E191" s="3" t="s">
        <v>45</v>
      </c>
      <c r="F191">
        <v>1</v>
      </c>
      <c r="G191" t="s">
        <v>21</v>
      </c>
      <c r="H191" t="s">
        <v>22</v>
      </c>
      <c r="I191" t="s">
        <v>7</v>
      </c>
      <c r="J191">
        <v>1</v>
      </c>
      <c r="K191" t="s">
        <v>18</v>
      </c>
      <c r="L191" t="s">
        <v>19</v>
      </c>
      <c r="M191" t="s">
        <v>49</v>
      </c>
      <c r="N191" t="s">
        <v>17</v>
      </c>
    </row>
    <row r="192" spans="1:14">
      <c r="A192">
        <v>16489</v>
      </c>
      <c r="B192" t="s">
        <v>41</v>
      </c>
      <c r="C192" t="s">
        <v>44</v>
      </c>
      <c r="D192" s="3">
        <v>30000</v>
      </c>
      <c r="E192" s="3" t="s">
        <v>45</v>
      </c>
      <c r="F192">
        <v>3</v>
      </c>
      <c r="G192" t="s">
        <v>30</v>
      </c>
      <c r="H192" t="s">
        <v>16</v>
      </c>
      <c r="I192" t="s">
        <v>7</v>
      </c>
      <c r="J192">
        <v>2</v>
      </c>
      <c r="K192" t="s">
        <v>26</v>
      </c>
      <c r="L192" t="s">
        <v>27</v>
      </c>
      <c r="M192" t="s">
        <v>50</v>
      </c>
      <c r="N192" t="s">
        <v>20</v>
      </c>
    </row>
    <row r="193" spans="1:14">
      <c r="A193">
        <v>26944</v>
      </c>
      <c r="B193" t="s">
        <v>42</v>
      </c>
      <c r="C193" t="s">
        <v>44</v>
      </c>
      <c r="D193" s="3">
        <v>90000</v>
      </c>
      <c r="E193" s="3" t="s">
        <v>46</v>
      </c>
      <c r="F193">
        <v>2</v>
      </c>
      <c r="G193" t="s">
        <v>30</v>
      </c>
      <c r="H193" t="s">
        <v>28</v>
      </c>
      <c r="I193" t="s">
        <v>7</v>
      </c>
      <c r="J193">
        <v>0</v>
      </c>
      <c r="K193" t="s">
        <v>18</v>
      </c>
      <c r="L193" t="s">
        <v>19</v>
      </c>
      <c r="M193" t="s">
        <v>49</v>
      </c>
      <c r="N193" t="s">
        <v>17</v>
      </c>
    </row>
    <row r="194" spans="1:14">
      <c r="A194">
        <v>15682</v>
      </c>
      <c r="B194" t="s">
        <v>42</v>
      </c>
      <c r="C194" t="s">
        <v>43</v>
      </c>
      <c r="D194" s="3">
        <v>80000</v>
      </c>
      <c r="E194" s="3" t="s">
        <v>46</v>
      </c>
      <c r="F194">
        <v>5</v>
      </c>
      <c r="G194" t="s">
        <v>15</v>
      </c>
      <c r="H194" t="s">
        <v>31</v>
      </c>
      <c r="I194" t="s">
        <v>7</v>
      </c>
      <c r="J194">
        <v>2</v>
      </c>
      <c r="K194" t="s">
        <v>33</v>
      </c>
      <c r="L194" t="s">
        <v>19</v>
      </c>
      <c r="M194" t="s">
        <v>50</v>
      </c>
      <c r="N194" t="s">
        <v>20</v>
      </c>
    </row>
    <row r="195" spans="1:14">
      <c r="A195">
        <v>26032</v>
      </c>
      <c r="B195" t="s">
        <v>41</v>
      </c>
      <c r="C195" t="s">
        <v>43</v>
      </c>
      <c r="D195" s="3">
        <v>70000</v>
      </c>
      <c r="E195" s="3" t="s">
        <v>46</v>
      </c>
      <c r="F195">
        <v>5</v>
      </c>
      <c r="G195" t="s">
        <v>15</v>
      </c>
      <c r="H195" t="s">
        <v>23</v>
      </c>
      <c r="I195" t="s">
        <v>7</v>
      </c>
      <c r="J195">
        <v>4</v>
      </c>
      <c r="K195" t="s">
        <v>33</v>
      </c>
      <c r="L195" t="s">
        <v>27</v>
      </c>
      <c r="M195" t="s">
        <v>49</v>
      </c>
      <c r="N195" t="s">
        <v>20</v>
      </c>
    </row>
    <row r="196" spans="1:14">
      <c r="A196">
        <v>17843</v>
      </c>
      <c r="B196" t="s">
        <v>42</v>
      </c>
      <c r="C196" t="s">
        <v>43</v>
      </c>
      <c r="D196" s="3">
        <v>10000</v>
      </c>
      <c r="E196" s="3" t="s">
        <v>45</v>
      </c>
      <c r="F196">
        <v>0</v>
      </c>
      <c r="G196" t="s">
        <v>32</v>
      </c>
      <c r="H196" t="s">
        <v>28</v>
      </c>
      <c r="I196" t="s">
        <v>48</v>
      </c>
      <c r="J196">
        <v>2</v>
      </c>
      <c r="K196" t="s">
        <v>18</v>
      </c>
      <c r="L196" t="s">
        <v>19</v>
      </c>
      <c r="M196" t="s">
        <v>52</v>
      </c>
      <c r="N196" t="s">
        <v>20</v>
      </c>
    </row>
    <row r="197" spans="1:14">
      <c r="A197">
        <v>25559</v>
      </c>
      <c r="B197" t="s">
        <v>42</v>
      </c>
      <c r="C197" t="s">
        <v>44</v>
      </c>
      <c r="D197" s="3">
        <v>20000</v>
      </c>
      <c r="E197" s="3" t="s">
        <v>45</v>
      </c>
      <c r="F197">
        <v>0</v>
      </c>
      <c r="G197" t="s">
        <v>15</v>
      </c>
      <c r="H197" t="s">
        <v>22</v>
      </c>
      <c r="I197" t="s">
        <v>7</v>
      </c>
      <c r="J197">
        <v>0</v>
      </c>
      <c r="K197" t="s">
        <v>18</v>
      </c>
      <c r="L197" t="s">
        <v>27</v>
      </c>
      <c r="M197" t="s">
        <v>52</v>
      </c>
      <c r="N197" t="s">
        <v>17</v>
      </c>
    </row>
    <row r="198" spans="1:14">
      <c r="A198">
        <v>16209</v>
      </c>
      <c r="B198" t="s">
        <v>42</v>
      </c>
      <c r="C198" t="s">
        <v>43</v>
      </c>
      <c r="D198" s="3">
        <v>50000</v>
      </c>
      <c r="E198" s="3" t="s">
        <v>45</v>
      </c>
      <c r="F198">
        <v>0</v>
      </c>
      <c r="G198" t="s">
        <v>34</v>
      </c>
      <c r="H198" t="s">
        <v>16</v>
      </c>
      <c r="I198" t="s">
        <v>7</v>
      </c>
      <c r="J198">
        <v>0</v>
      </c>
      <c r="K198" t="s">
        <v>29</v>
      </c>
      <c r="L198" t="s">
        <v>19</v>
      </c>
      <c r="M198" t="s">
        <v>49</v>
      </c>
      <c r="N198" t="s">
        <v>20</v>
      </c>
    </row>
    <row r="199" spans="1:14">
      <c r="A199">
        <v>11147</v>
      </c>
      <c r="B199" t="s">
        <v>41</v>
      </c>
      <c r="C199" t="s">
        <v>44</v>
      </c>
      <c r="D199" s="3">
        <v>60000</v>
      </c>
      <c r="E199" s="3" t="s">
        <v>46</v>
      </c>
      <c r="F199">
        <v>2</v>
      </c>
      <c r="G199" t="s">
        <v>34</v>
      </c>
      <c r="H199" t="s">
        <v>31</v>
      </c>
      <c r="I199" t="s">
        <v>7</v>
      </c>
      <c r="J199">
        <v>1</v>
      </c>
      <c r="K199" t="s">
        <v>18</v>
      </c>
      <c r="L199" t="s">
        <v>27</v>
      </c>
      <c r="M199" t="s">
        <v>53</v>
      </c>
      <c r="N199" t="s">
        <v>17</v>
      </c>
    </row>
    <row r="200" spans="1:14">
      <c r="A200">
        <v>15214</v>
      </c>
      <c r="B200" t="s">
        <v>42</v>
      </c>
      <c r="C200" t="s">
        <v>43</v>
      </c>
      <c r="D200" s="3">
        <v>100000</v>
      </c>
      <c r="E200" s="3" t="s">
        <v>46</v>
      </c>
      <c r="F200">
        <v>0</v>
      </c>
      <c r="G200" t="s">
        <v>34</v>
      </c>
      <c r="H200" t="s">
        <v>31</v>
      </c>
      <c r="I200" t="s">
        <v>48</v>
      </c>
      <c r="J200">
        <v>1</v>
      </c>
      <c r="K200" t="s">
        <v>29</v>
      </c>
      <c r="L200" t="s">
        <v>27</v>
      </c>
      <c r="M200" t="s">
        <v>49</v>
      </c>
      <c r="N200" t="s">
        <v>17</v>
      </c>
    </row>
    <row r="201" spans="1:14">
      <c r="A201">
        <v>11453</v>
      </c>
      <c r="B201" t="s">
        <v>42</v>
      </c>
      <c r="C201" t="s">
        <v>44</v>
      </c>
      <c r="D201" s="3">
        <v>80000</v>
      </c>
      <c r="E201" s="3" t="s">
        <v>46</v>
      </c>
      <c r="F201">
        <v>0</v>
      </c>
      <c r="G201" t="s">
        <v>15</v>
      </c>
      <c r="H201" t="s">
        <v>23</v>
      </c>
      <c r="I201" t="s">
        <v>48</v>
      </c>
      <c r="J201">
        <v>3</v>
      </c>
      <c r="K201" t="s">
        <v>33</v>
      </c>
      <c r="L201" t="s">
        <v>27</v>
      </c>
      <c r="M201" t="s">
        <v>52</v>
      </c>
      <c r="N201" t="s">
        <v>17</v>
      </c>
    </row>
    <row r="202" spans="1:14">
      <c r="A202">
        <v>24584</v>
      </c>
      <c r="B202" t="s">
        <v>42</v>
      </c>
      <c r="C202" t="s">
        <v>44</v>
      </c>
      <c r="D202" s="3">
        <v>60000</v>
      </c>
      <c r="E202" s="3" t="s">
        <v>46</v>
      </c>
      <c r="F202">
        <v>0</v>
      </c>
      <c r="G202" t="s">
        <v>15</v>
      </c>
      <c r="H202" t="s">
        <v>23</v>
      </c>
      <c r="I202" t="s">
        <v>48</v>
      </c>
      <c r="J202">
        <v>3</v>
      </c>
      <c r="K202" t="s">
        <v>24</v>
      </c>
      <c r="L202" t="s">
        <v>27</v>
      </c>
      <c r="M202" t="s">
        <v>52</v>
      </c>
      <c r="N202" t="s">
        <v>20</v>
      </c>
    </row>
    <row r="203" spans="1:14">
      <c r="A203">
        <v>12585</v>
      </c>
      <c r="B203" t="s">
        <v>41</v>
      </c>
      <c r="C203" t="s">
        <v>44</v>
      </c>
      <c r="D203" s="3">
        <v>10000</v>
      </c>
      <c r="E203" s="3" t="s">
        <v>45</v>
      </c>
      <c r="F203">
        <v>1</v>
      </c>
      <c r="G203" t="s">
        <v>30</v>
      </c>
      <c r="H203" t="s">
        <v>28</v>
      </c>
      <c r="I203" t="s">
        <v>7</v>
      </c>
      <c r="J203">
        <v>0</v>
      </c>
      <c r="K203" t="s">
        <v>24</v>
      </c>
      <c r="L203" t="s">
        <v>27</v>
      </c>
      <c r="M203" t="s">
        <v>52</v>
      </c>
      <c r="N203" t="s">
        <v>17</v>
      </c>
    </row>
    <row r="204" spans="1:14">
      <c r="A204">
        <v>18626</v>
      </c>
      <c r="B204" t="s">
        <v>42</v>
      </c>
      <c r="C204" t="s">
        <v>44</v>
      </c>
      <c r="D204" s="3">
        <v>40000</v>
      </c>
      <c r="E204" s="3" t="s">
        <v>45</v>
      </c>
      <c r="F204">
        <v>2</v>
      </c>
      <c r="G204" t="s">
        <v>21</v>
      </c>
      <c r="H204" t="s">
        <v>22</v>
      </c>
      <c r="I204" t="s">
        <v>7</v>
      </c>
      <c r="J204">
        <v>0</v>
      </c>
      <c r="K204" t="s">
        <v>29</v>
      </c>
      <c r="L204" t="s">
        <v>19</v>
      </c>
      <c r="M204" t="s">
        <v>52</v>
      </c>
      <c r="N204" t="s">
        <v>17</v>
      </c>
    </row>
    <row r="205" spans="1:14">
      <c r="A205">
        <v>29298</v>
      </c>
      <c r="B205" t="s">
        <v>42</v>
      </c>
      <c r="C205" t="s">
        <v>43</v>
      </c>
      <c r="D205" s="3">
        <v>60000</v>
      </c>
      <c r="E205" s="3" t="s">
        <v>46</v>
      </c>
      <c r="F205">
        <v>1</v>
      </c>
      <c r="G205" t="s">
        <v>21</v>
      </c>
      <c r="H205" t="s">
        <v>16</v>
      </c>
      <c r="I205" t="s">
        <v>7</v>
      </c>
      <c r="J205">
        <v>1</v>
      </c>
      <c r="K205" t="s">
        <v>26</v>
      </c>
      <c r="L205" t="s">
        <v>27</v>
      </c>
      <c r="M205" t="s">
        <v>51</v>
      </c>
      <c r="N205" t="s">
        <v>17</v>
      </c>
    </row>
    <row r="206" spans="1:14">
      <c r="A206">
        <v>24842</v>
      </c>
      <c r="B206" t="s">
        <v>42</v>
      </c>
      <c r="C206" t="s">
        <v>43</v>
      </c>
      <c r="D206" s="3">
        <v>90000</v>
      </c>
      <c r="E206" s="3" t="s">
        <v>46</v>
      </c>
      <c r="F206">
        <v>3</v>
      </c>
      <c r="G206" t="s">
        <v>30</v>
      </c>
      <c r="H206" t="s">
        <v>23</v>
      </c>
      <c r="I206" t="s">
        <v>48</v>
      </c>
      <c r="J206">
        <v>1</v>
      </c>
      <c r="K206" t="s">
        <v>24</v>
      </c>
      <c r="L206" t="s">
        <v>19</v>
      </c>
      <c r="M206" t="s">
        <v>51</v>
      </c>
      <c r="N206" t="s">
        <v>20</v>
      </c>
    </row>
    <row r="207" spans="1:14">
      <c r="A207">
        <v>15657</v>
      </c>
      <c r="B207" t="s">
        <v>41</v>
      </c>
      <c r="C207" t="s">
        <v>44</v>
      </c>
      <c r="D207" s="3">
        <v>30000</v>
      </c>
      <c r="E207" s="3" t="s">
        <v>45</v>
      </c>
      <c r="F207">
        <v>3</v>
      </c>
      <c r="G207" t="s">
        <v>34</v>
      </c>
      <c r="H207" t="s">
        <v>22</v>
      </c>
      <c r="I207" t="s">
        <v>7</v>
      </c>
      <c r="J207">
        <v>0</v>
      </c>
      <c r="K207" t="s">
        <v>18</v>
      </c>
      <c r="L207" t="s">
        <v>19</v>
      </c>
      <c r="M207" t="s">
        <v>51</v>
      </c>
      <c r="N207" t="s">
        <v>17</v>
      </c>
    </row>
    <row r="208" spans="1:14">
      <c r="A208">
        <v>11415</v>
      </c>
      <c r="B208" t="s">
        <v>42</v>
      </c>
      <c r="C208" t="s">
        <v>44</v>
      </c>
      <c r="D208" s="3">
        <v>90000</v>
      </c>
      <c r="E208" s="3" t="s">
        <v>46</v>
      </c>
      <c r="F208">
        <v>5</v>
      </c>
      <c r="G208" t="s">
        <v>21</v>
      </c>
      <c r="H208" t="s">
        <v>23</v>
      </c>
      <c r="I208" t="s">
        <v>48</v>
      </c>
      <c r="J208">
        <v>2</v>
      </c>
      <c r="K208" t="s">
        <v>33</v>
      </c>
      <c r="L208" t="s">
        <v>19</v>
      </c>
      <c r="M208" t="s">
        <v>50</v>
      </c>
      <c r="N208" t="s">
        <v>20</v>
      </c>
    </row>
    <row r="209" spans="1:14">
      <c r="A209">
        <v>28729</v>
      </c>
      <c r="B209" t="s">
        <v>42</v>
      </c>
      <c r="C209" t="s">
        <v>43</v>
      </c>
      <c r="D209" s="3">
        <v>20000</v>
      </c>
      <c r="E209" s="3" t="s">
        <v>45</v>
      </c>
      <c r="F209">
        <v>0</v>
      </c>
      <c r="G209" t="s">
        <v>32</v>
      </c>
      <c r="H209" t="s">
        <v>28</v>
      </c>
      <c r="I209" t="s">
        <v>7</v>
      </c>
      <c r="J209">
        <v>2</v>
      </c>
      <c r="K209" t="s">
        <v>29</v>
      </c>
      <c r="L209" t="s">
        <v>19</v>
      </c>
      <c r="M209" t="s">
        <v>52</v>
      </c>
      <c r="N209" t="s">
        <v>17</v>
      </c>
    </row>
    <row r="210" spans="1:14">
      <c r="A210">
        <v>22633</v>
      </c>
      <c r="B210" t="s">
        <v>42</v>
      </c>
      <c r="C210" t="s">
        <v>43</v>
      </c>
      <c r="D210" s="3">
        <v>40000</v>
      </c>
      <c r="E210" s="3" t="s">
        <v>45</v>
      </c>
      <c r="F210">
        <v>0</v>
      </c>
      <c r="G210" t="s">
        <v>34</v>
      </c>
      <c r="H210" t="s">
        <v>22</v>
      </c>
      <c r="I210" t="s">
        <v>7</v>
      </c>
      <c r="J210">
        <v>0</v>
      </c>
      <c r="K210" t="s">
        <v>18</v>
      </c>
      <c r="L210" t="s">
        <v>19</v>
      </c>
      <c r="M210" t="s">
        <v>49</v>
      </c>
      <c r="N210" t="s">
        <v>17</v>
      </c>
    </row>
    <row r="211" spans="1:14">
      <c r="A211">
        <v>25649</v>
      </c>
      <c r="B211" t="s">
        <v>42</v>
      </c>
      <c r="C211" t="s">
        <v>43</v>
      </c>
      <c r="D211" s="3">
        <v>30000</v>
      </c>
      <c r="E211" s="3" t="s">
        <v>45</v>
      </c>
      <c r="F211">
        <v>3</v>
      </c>
      <c r="G211" t="s">
        <v>21</v>
      </c>
      <c r="H211" t="s">
        <v>22</v>
      </c>
      <c r="I211" t="s">
        <v>7</v>
      </c>
      <c r="J211">
        <v>0</v>
      </c>
      <c r="K211" t="s">
        <v>18</v>
      </c>
      <c r="L211" t="s">
        <v>19</v>
      </c>
      <c r="M211" t="s">
        <v>49</v>
      </c>
      <c r="N211" t="s">
        <v>17</v>
      </c>
    </row>
    <row r="212" spans="1:14">
      <c r="A212">
        <v>14669</v>
      </c>
      <c r="B212" t="s">
        <v>41</v>
      </c>
      <c r="C212" t="s">
        <v>43</v>
      </c>
      <c r="D212" s="3">
        <v>80000</v>
      </c>
      <c r="E212" s="3" t="s">
        <v>46</v>
      </c>
      <c r="F212">
        <v>4</v>
      </c>
      <c r="G212" t="s">
        <v>34</v>
      </c>
      <c r="H212" t="s">
        <v>31</v>
      </c>
      <c r="I212" t="s">
        <v>7</v>
      </c>
      <c r="J212">
        <v>1</v>
      </c>
      <c r="K212" t="s">
        <v>18</v>
      </c>
      <c r="L212" t="s">
        <v>27</v>
      </c>
      <c r="M212" t="s">
        <v>49</v>
      </c>
      <c r="N212" t="s">
        <v>20</v>
      </c>
    </row>
    <row r="213" spans="1:14">
      <c r="A213">
        <v>19299</v>
      </c>
      <c r="B213" t="s">
        <v>41</v>
      </c>
      <c r="C213" t="s">
        <v>43</v>
      </c>
      <c r="D213" s="3">
        <v>50000</v>
      </c>
      <c r="E213" s="3" t="s">
        <v>45</v>
      </c>
      <c r="F213">
        <v>0</v>
      </c>
      <c r="G213" t="s">
        <v>34</v>
      </c>
      <c r="H213" t="s">
        <v>16</v>
      </c>
      <c r="I213" t="s">
        <v>7</v>
      </c>
      <c r="J213">
        <v>0</v>
      </c>
      <c r="K213" t="s">
        <v>18</v>
      </c>
      <c r="L213" t="s">
        <v>19</v>
      </c>
      <c r="M213" t="s">
        <v>49</v>
      </c>
      <c r="N213" t="s">
        <v>17</v>
      </c>
    </row>
    <row r="214" spans="1:14">
      <c r="A214">
        <v>20946</v>
      </c>
      <c r="B214" t="s">
        <v>42</v>
      </c>
      <c r="C214" t="s">
        <v>43</v>
      </c>
      <c r="D214" s="3">
        <v>30000</v>
      </c>
      <c r="E214" s="3" t="s">
        <v>45</v>
      </c>
      <c r="F214">
        <v>0</v>
      </c>
      <c r="G214" t="s">
        <v>21</v>
      </c>
      <c r="H214" t="s">
        <v>22</v>
      </c>
      <c r="I214" t="s">
        <v>48</v>
      </c>
      <c r="J214">
        <v>1</v>
      </c>
      <c r="K214" t="s">
        <v>24</v>
      </c>
      <c r="L214" t="s">
        <v>19</v>
      </c>
      <c r="M214" t="s">
        <v>52</v>
      </c>
      <c r="N214" t="s">
        <v>20</v>
      </c>
    </row>
    <row r="215" spans="1:14">
      <c r="A215">
        <v>11451</v>
      </c>
      <c r="B215" t="s">
        <v>42</v>
      </c>
      <c r="C215" t="s">
        <v>44</v>
      </c>
      <c r="D215" s="3">
        <v>70000</v>
      </c>
      <c r="E215" s="3" t="s">
        <v>46</v>
      </c>
      <c r="F215">
        <v>0</v>
      </c>
      <c r="G215" t="s">
        <v>15</v>
      </c>
      <c r="H215" t="s">
        <v>23</v>
      </c>
      <c r="I215" t="s">
        <v>48</v>
      </c>
      <c r="J215">
        <v>4</v>
      </c>
      <c r="K215" t="s">
        <v>33</v>
      </c>
      <c r="L215" t="s">
        <v>27</v>
      </c>
      <c r="M215" t="s">
        <v>52</v>
      </c>
      <c r="N215" t="s">
        <v>17</v>
      </c>
    </row>
    <row r="216" spans="1:14">
      <c r="A216">
        <v>25553</v>
      </c>
      <c r="B216" t="s">
        <v>41</v>
      </c>
      <c r="C216" t="s">
        <v>44</v>
      </c>
      <c r="D216" s="3">
        <v>30000</v>
      </c>
      <c r="E216" s="3" t="s">
        <v>45</v>
      </c>
      <c r="F216">
        <v>1</v>
      </c>
      <c r="G216" t="s">
        <v>15</v>
      </c>
      <c r="H216" t="s">
        <v>22</v>
      </c>
      <c r="I216" t="s">
        <v>7</v>
      </c>
      <c r="J216">
        <v>0</v>
      </c>
      <c r="K216" t="s">
        <v>18</v>
      </c>
      <c r="L216" t="s">
        <v>19</v>
      </c>
      <c r="M216" t="s">
        <v>53</v>
      </c>
      <c r="N216" t="s">
        <v>17</v>
      </c>
    </row>
    <row r="217" spans="1:14">
      <c r="A217">
        <v>27951</v>
      </c>
      <c r="B217" t="s">
        <v>42</v>
      </c>
      <c r="C217" t="s">
        <v>44</v>
      </c>
      <c r="D217" s="3">
        <v>80000</v>
      </c>
      <c r="E217" s="3" t="s">
        <v>46</v>
      </c>
      <c r="F217">
        <v>4</v>
      </c>
      <c r="G217" t="s">
        <v>21</v>
      </c>
      <c r="H217" t="s">
        <v>23</v>
      </c>
      <c r="I217" t="s">
        <v>48</v>
      </c>
      <c r="J217">
        <v>2</v>
      </c>
      <c r="K217" t="s">
        <v>24</v>
      </c>
      <c r="L217" t="s">
        <v>19</v>
      </c>
      <c r="M217" t="s">
        <v>51</v>
      </c>
      <c r="N217" t="s">
        <v>17</v>
      </c>
    </row>
    <row r="218" spans="1:14">
      <c r="A218">
        <v>25026</v>
      </c>
      <c r="B218" t="s">
        <v>41</v>
      </c>
      <c r="C218" t="s">
        <v>44</v>
      </c>
      <c r="D218" s="3">
        <v>20000</v>
      </c>
      <c r="E218" s="3" t="s">
        <v>45</v>
      </c>
      <c r="F218">
        <v>2</v>
      </c>
      <c r="G218" t="s">
        <v>32</v>
      </c>
      <c r="H218" t="s">
        <v>22</v>
      </c>
      <c r="I218" t="s">
        <v>7</v>
      </c>
      <c r="J218">
        <v>3</v>
      </c>
      <c r="K218" t="s">
        <v>26</v>
      </c>
      <c r="L218" t="s">
        <v>27</v>
      </c>
      <c r="M218" t="s">
        <v>51</v>
      </c>
      <c r="N218" t="s">
        <v>20</v>
      </c>
    </row>
    <row r="219" spans="1:14">
      <c r="A219">
        <v>13673</v>
      </c>
      <c r="B219" t="s">
        <v>42</v>
      </c>
      <c r="C219" t="s">
        <v>43</v>
      </c>
      <c r="D219" s="3">
        <v>20000</v>
      </c>
      <c r="E219" s="3" t="s">
        <v>45</v>
      </c>
      <c r="F219">
        <v>0</v>
      </c>
      <c r="G219" t="s">
        <v>32</v>
      </c>
      <c r="H219" t="s">
        <v>28</v>
      </c>
      <c r="I219" t="s">
        <v>48</v>
      </c>
      <c r="J219">
        <v>2</v>
      </c>
      <c r="K219" t="s">
        <v>18</v>
      </c>
      <c r="L219" t="s">
        <v>19</v>
      </c>
      <c r="M219" t="s">
        <v>52</v>
      </c>
      <c r="N219" t="s">
        <v>20</v>
      </c>
    </row>
    <row r="220" spans="1:14">
      <c r="A220">
        <v>16043</v>
      </c>
      <c r="B220" t="s">
        <v>42</v>
      </c>
      <c r="C220" t="s">
        <v>44</v>
      </c>
      <c r="D220" s="3">
        <v>10000</v>
      </c>
      <c r="E220" s="3" t="s">
        <v>45</v>
      </c>
      <c r="F220">
        <v>1</v>
      </c>
      <c r="G220" t="s">
        <v>15</v>
      </c>
      <c r="H220" t="s">
        <v>28</v>
      </c>
      <c r="I220" t="s">
        <v>7</v>
      </c>
      <c r="J220">
        <v>0</v>
      </c>
      <c r="K220" t="s">
        <v>18</v>
      </c>
      <c r="L220" t="s">
        <v>19</v>
      </c>
      <c r="M220" t="s">
        <v>51</v>
      </c>
      <c r="N220" t="s">
        <v>20</v>
      </c>
    </row>
    <row r="221" spans="1:14">
      <c r="A221">
        <v>22399</v>
      </c>
      <c r="B221" t="s">
        <v>42</v>
      </c>
      <c r="C221" t="s">
        <v>44</v>
      </c>
      <c r="D221" s="3">
        <v>10000</v>
      </c>
      <c r="E221" s="3" t="s">
        <v>45</v>
      </c>
      <c r="F221">
        <v>0</v>
      </c>
      <c r="G221" t="s">
        <v>21</v>
      </c>
      <c r="H221" t="s">
        <v>28</v>
      </c>
      <c r="I221" t="s">
        <v>7</v>
      </c>
      <c r="J221">
        <v>1</v>
      </c>
      <c r="K221" t="s">
        <v>29</v>
      </c>
      <c r="L221" t="s">
        <v>27</v>
      </c>
      <c r="M221" t="s">
        <v>52</v>
      </c>
      <c r="N221" t="s">
        <v>17</v>
      </c>
    </row>
    <row r="222" spans="1:14">
      <c r="A222">
        <v>27696</v>
      </c>
      <c r="B222" t="s">
        <v>41</v>
      </c>
      <c r="C222" t="s">
        <v>44</v>
      </c>
      <c r="D222" s="3">
        <v>60000</v>
      </c>
      <c r="E222" s="3" t="s">
        <v>46</v>
      </c>
      <c r="F222">
        <v>1</v>
      </c>
      <c r="G222" t="s">
        <v>15</v>
      </c>
      <c r="H222" t="s">
        <v>23</v>
      </c>
      <c r="I222" t="s">
        <v>7</v>
      </c>
      <c r="J222">
        <v>1</v>
      </c>
      <c r="K222" t="s">
        <v>26</v>
      </c>
      <c r="L222" t="s">
        <v>27</v>
      </c>
      <c r="M222" t="s">
        <v>49</v>
      </c>
      <c r="N222" t="s">
        <v>17</v>
      </c>
    </row>
    <row r="223" spans="1:14">
      <c r="A223">
        <v>25313</v>
      </c>
      <c r="B223" t="s">
        <v>42</v>
      </c>
      <c r="C223" t="s">
        <v>44</v>
      </c>
      <c r="D223" s="3">
        <v>10000</v>
      </c>
      <c r="E223" s="3" t="s">
        <v>45</v>
      </c>
      <c r="F223">
        <v>0</v>
      </c>
      <c r="G223" t="s">
        <v>32</v>
      </c>
      <c r="H223" t="s">
        <v>28</v>
      </c>
      <c r="I223" t="s">
        <v>48</v>
      </c>
      <c r="J223">
        <v>2</v>
      </c>
      <c r="K223" t="s">
        <v>29</v>
      </c>
      <c r="L223" t="s">
        <v>19</v>
      </c>
      <c r="M223" t="s">
        <v>49</v>
      </c>
      <c r="N223" t="s">
        <v>20</v>
      </c>
    </row>
    <row r="224" spans="1:14">
      <c r="A224">
        <v>13813</v>
      </c>
      <c r="B224" t="s">
        <v>41</v>
      </c>
      <c r="C224" t="s">
        <v>43</v>
      </c>
      <c r="D224" s="3">
        <v>30000</v>
      </c>
      <c r="E224" s="3" t="s">
        <v>45</v>
      </c>
      <c r="F224">
        <v>3</v>
      </c>
      <c r="G224" t="s">
        <v>21</v>
      </c>
      <c r="H224" t="s">
        <v>22</v>
      </c>
      <c r="I224" t="s">
        <v>48</v>
      </c>
      <c r="J224">
        <v>0</v>
      </c>
      <c r="K224" t="s">
        <v>18</v>
      </c>
      <c r="L224" t="s">
        <v>19</v>
      </c>
      <c r="M224" t="s">
        <v>49</v>
      </c>
      <c r="N224" t="s">
        <v>20</v>
      </c>
    </row>
    <row r="225" spans="1:14">
      <c r="A225">
        <v>18711</v>
      </c>
      <c r="B225" t="s">
        <v>42</v>
      </c>
      <c r="C225" t="s">
        <v>43</v>
      </c>
      <c r="D225" s="3">
        <v>70000</v>
      </c>
      <c r="E225" s="3" t="s">
        <v>46</v>
      </c>
      <c r="F225">
        <v>5</v>
      </c>
      <c r="G225" t="s">
        <v>15</v>
      </c>
      <c r="H225" t="s">
        <v>23</v>
      </c>
      <c r="I225" t="s">
        <v>7</v>
      </c>
      <c r="J225">
        <v>4</v>
      </c>
      <c r="K225" t="s">
        <v>33</v>
      </c>
      <c r="L225" t="s">
        <v>27</v>
      </c>
      <c r="M225" t="s">
        <v>49</v>
      </c>
      <c r="N225" t="s">
        <v>20</v>
      </c>
    </row>
    <row r="226" spans="1:14">
      <c r="A226">
        <v>19650</v>
      </c>
      <c r="B226" t="s">
        <v>41</v>
      </c>
      <c r="C226" t="s">
        <v>43</v>
      </c>
      <c r="D226" s="3">
        <v>30000</v>
      </c>
      <c r="E226" s="3" t="s">
        <v>45</v>
      </c>
      <c r="F226">
        <v>2</v>
      </c>
      <c r="G226" t="s">
        <v>21</v>
      </c>
      <c r="H226" t="s">
        <v>22</v>
      </c>
      <c r="I226" t="s">
        <v>48</v>
      </c>
      <c r="J226">
        <v>2</v>
      </c>
      <c r="K226" t="s">
        <v>18</v>
      </c>
      <c r="L226" t="s">
        <v>27</v>
      </c>
      <c r="M226" t="s">
        <v>53</v>
      </c>
      <c r="N226" t="s">
        <v>20</v>
      </c>
    </row>
    <row r="227" spans="1:14">
      <c r="A227">
        <v>14135</v>
      </c>
      <c r="B227" t="s">
        <v>41</v>
      </c>
      <c r="C227" t="s">
        <v>44</v>
      </c>
      <c r="D227" s="3">
        <v>20000</v>
      </c>
      <c r="E227" s="3" t="s">
        <v>45</v>
      </c>
      <c r="F227">
        <v>1</v>
      </c>
      <c r="G227" t="s">
        <v>21</v>
      </c>
      <c r="H227" t="s">
        <v>28</v>
      </c>
      <c r="I227" t="s">
        <v>7</v>
      </c>
      <c r="J227">
        <v>0</v>
      </c>
      <c r="K227" t="s">
        <v>29</v>
      </c>
      <c r="L227" t="s">
        <v>19</v>
      </c>
      <c r="M227" t="s">
        <v>49</v>
      </c>
      <c r="N227" t="s">
        <v>20</v>
      </c>
    </row>
    <row r="228" spans="1:14">
      <c r="A228">
        <v>12833</v>
      </c>
      <c r="B228" t="s">
        <v>42</v>
      </c>
      <c r="C228" t="s">
        <v>43</v>
      </c>
      <c r="D228" s="3">
        <v>20000</v>
      </c>
      <c r="E228" s="3" t="s">
        <v>45</v>
      </c>
      <c r="F228">
        <v>3</v>
      </c>
      <c r="G228" t="s">
        <v>30</v>
      </c>
      <c r="H228" t="s">
        <v>28</v>
      </c>
      <c r="I228" t="s">
        <v>7</v>
      </c>
      <c r="J228">
        <v>1</v>
      </c>
      <c r="K228" t="s">
        <v>18</v>
      </c>
      <c r="L228" t="s">
        <v>19</v>
      </c>
      <c r="M228" t="s">
        <v>49</v>
      </c>
      <c r="N228" t="s">
        <v>17</v>
      </c>
    </row>
    <row r="229" spans="1:14">
      <c r="A229">
        <v>26849</v>
      </c>
      <c r="B229" t="s">
        <v>41</v>
      </c>
      <c r="C229" t="s">
        <v>44</v>
      </c>
      <c r="D229" s="3">
        <v>10000</v>
      </c>
      <c r="E229" s="3" t="s">
        <v>45</v>
      </c>
      <c r="F229">
        <v>3</v>
      </c>
      <c r="G229" t="s">
        <v>32</v>
      </c>
      <c r="H229" t="s">
        <v>28</v>
      </c>
      <c r="I229" t="s">
        <v>7</v>
      </c>
      <c r="J229">
        <v>2</v>
      </c>
      <c r="K229" t="s">
        <v>18</v>
      </c>
      <c r="L229" t="s">
        <v>19</v>
      </c>
      <c r="M229" t="s">
        <v>49</v>
      </c>
      <c r="N229" t="s">
        <v>20</v>
      </c>
    </row>
    <row r="230" spans="1:14">
      <c r="A230">
        <v>20962</v>
      </c>
      <c r="B230" t="s">
        <v>41</v>
      </c>
      <c r="C230" t="s">
        <v>43</v>
      </c>
      <c r="D230" s="3">
        <v>20000</v>
      </c>
      <c r="E230" s="3" t="s">
        <v>45</v>
      </c>
      <c r="F230">
        <v>1</v>
      </c>
      <c r="G230" t="s">
        <v>34</v>
      </c>
      <c r="H230" t="s">
        <v>22</v>
      </c>
      <c r="I230" t="s">
        <v>7</v>
      </c>
      <c r="J230">
        <v>0</v>
      </c>
      <c r="K230" t="s">
        <v>18</v>
      </c>
      <c r="L230" t="s">
        <v>19</v>
      </c>
      <c r="M230" t="s">
        <v>51</v>
      </c>
      <c r="N230" t="s">
        <v>20</v>
      </c>
    </row>
    <row r="231" spans="1:14">
      <c r="A231">
        <v>28915</v>
      </c>
      <c r="B231" t="s">
        <v>42</v>
      </c>
      <c r="C231" t="s">
        <v>44</v>
      </c>
      <c r="D231" s="3">
        <v>80000</v>
      </c>
      <c r="E231" s="3" t="s">
        <v>46</v>
      </c>
      <c r="F231">
        <v>5</v>
      </c>
      <c r="G231" t="s">
        <v>30</v>
      </c>
      <c r="H231" t="s">
        <v>31</v>
      </c>
      <c r="I231" t="s">
        <v>7</v>
      </c>
      <c r="J231">
        <v>3</v>
      </c>
      <c r="K231" t="s">
        <v>33</v>
      </c>
      <c r="L231" t="s">
        <v>19</v>
      </c>
      <c r="M231" t="s">
        <v>50</v>
      </c>
      <c r="N231" t="s">
        <v>20</v>
      </c>
    </row>
    <row r="232" spans="1:14">
      <c r="A232">
        <v>22830</v>
      </c>
      <c r="B232" t="s">
        <v>41</v>
      </c>
      <c r="C232" t="s">
        <v>44</v>
      </c>
      <c r="D232" s="3">
        <v>120000</v>
      </c>
      <c r="E232" s="3" t="s">
        <v>47</v>
      </c>
      <c r="F232">
        <v>4</v>
      </c>
      <c r="G232" t="s">
        <v>21</v>
      </c>
      <c r="H232" t="s">
        <v>31</v>
      </c>
      <c r="I232" t="s">
        <v>7</v>
      </c>
      <c r="J232">
        <v>3</v>
      </c>
      <c r="K232" t="s">
        <v>33</v>
      </c>
      <c r="L232" t="s">
        <v>19</v>
      </c>
      <c r="M232" t="s">
        <v>50</v>
      </c>
      <c r="N232" t="s">
        <v>20</v>
      </c>
    </row>
    <row r="233" spans="1:14">
      <c r="A233">
        <v>14777</v>
      </c>
      <c r="B233" t="s">
        <v>41</v>
      </c>
      <c r="C233" t="s">
        <v>43</v>
      </c>
      <c r="D233" s="3">
        <v>40000</v>
      </c>
      <c r="E233" s="3" t="s">
        <v>45</v>
      </c>
      <c r="F233">
        <v>0</v>
      </c>
      <c r="G233" t="s">
        <v>15</v>
      </c>
      <c r="H233" t="s">
        <v>22</v>
      </c>
      <c r="I233" t="s">
        <v>7</v>
      </c>
      <c r="J233">
        <v>0</v>
      </c>
      <c r="K233" t="s">
        <v>18</v>
      </c>
      <c r="L233" t="s">
        <v>19</v>
      </c>
      <c r="M233" t="s">
        <v>49</v>
      </c>
      <c r="N233" t="s">
        <v>17</v>
      </c>
    </row>
    <row r="234" spans="1:14">
      <c r="A234">
        <v>12591</v>
      </c>
      <c r="B234" t="s">
        <v>41</v>
      </c>
      <c r="C234" t="s">
        <v>43</v>
      </c>
      <c r="D234" s="3">
        <v>30000</v>
      </c>
      <c r="E234" s="3" t="s">
        <v>45</v>
      </c>
      <c r="F234">
        <v>4</v>
      </c>
      <c r="G234" t="s">
        <v>34</v>
      </c>
      <c r="H234" t="s">
        <v>22</v>
      </c>
      <c r="I234" t="s">
        <v>7</v>
      </c>
      <c r="J234">
        <v>0</v>
      </c>
      <c r="K234" t="s">
        <v>18</v>
      </c>
      <c r="L234" t="s">
        <v>19</v>
      </c>
      <c r="M234" t="s">
        <v>51</v>
      </c>
      <c r="N234" t="s">
        <v>20</v>
      </c>
    </row>
    <row r="235" spans="1:14">
      <c r="A235">
        <v>24174</v>
      </c>
      <c r="B235" t="s">
        <v>41</v>
      </c>
      <c r="C235" t="s">
        <v>44</v>
      </c>
      <c r="D235" s="3">
        <v>20000</v>
      </c>
      <c r="E235" s="3" t="s">
        <v>45</v>
      </c>
      <c r="F235">
        <v>0</v>
      </c>
      <c r="G235" t="s">
        <v>15</v>
      </c>
      <c r="H235" t="s">
        <v>22</v>
      </c>
      <c r="I235" t="s">
        <v>7</v>
      </c>
      <c r="J235">
        <v>0</v>
      </c>
      <c r="K235" t="s">
        <v>18</v>
      </c>
      <c r="L235" t="s">
        <v>27</v>
      </c>
      <c r="M235" t="s">
        <v>52</v>
      </c>
      <c r="N235" t="s">
        <v>17</v>
      </c>
    </row>
    <row r="236" spans="1:14">
      <c r="A236">
        <v>24611</v>
      </c>
      <c r="B236" t="s">
        <v>42</v>
      </c>
      <c r="C236" t="s">
        <v>44</v>
      </c>
      <c r="D236" s="3">
        <v>90000</v>
      </c>
      <c r="E236" s="3" t="s">
        <v>46</v>
      </c>
      <c r="F236">
        <v>0</v>
      </c>
      <c r="G236" t="s">
        <v>15</v>
      </c>
      <c r="H236" t="s">
        <v>23</v>
      </c>
      <c r="I236" t="s">
        <v>48</v>
      </c>
      <c r="J236">
        <v>4</v>
      </c>
      <c r="K236" t="s">
        <v>33</v>
      </c>
      <c r="L236" t="s">
        <v>27</v>
      </c>
      <c r="M236" t="s">
        <v>49</v>
      </c>
      <c r="N236" t="s">
        <v>17</v>
      </c>
    </row>
    <row r="237" spans="1:14">
      <c r="A237">
        <v>11340</v>
      </c>
      <c r="B237" t="s">
        <v>41</v>
      </c>
      <c r="C237" t="s">
        <v>43</v>
      </c>
      <c r="D237" s="3">
        <v>10000</v>
      </c>
      <c r="E237" s="3" t="s">
        <v>45</v>
      </c>
      <c r="F237">
        <v>1</v>
      </c>
      <c r="G237" t="s">
        <v>34</v>
      </c>
      <c r="H237" t="s">
        <v>22</v>
      </c>
      <c r="I237" t="s">
        <v>7</v>
      </c>
      <c r="J237">
        <v>0</v>
      </c>
      <c r="K237" t="s">
        <v>18</v>
      </c>
      <c r="L237" t="s">
        <v>19</v>
      </c>
      <c r="M237" t="s">
        <v>53</v>
      </c>
      <c r="N237" t="s">
        <v>17</v>
      </c>
    </row>
    <row r="238" spans="1:14">
      <c r="A238">
        <v>25693</v>
      </c>
      <c r="B238" t="s">
        <v>42</v>
      </c>
      <c r="C238" t="s">
        <v>43</v>
      </c>
      <c r="D238" s="3">
        <v>30000</v>
      </c>
      <c r="E238" s="3" t="s">
        <v>45</v>
      </c>
      <c r="F238">
        <v>5</v>
      </c>
      <c r="G238" t="s">
        <v>34</v>
      </c>
      <c r="H238" t="s">
        <v>22</v>
      </c>
      <c r="I238" t="s">
        <v>7</v>
      </c>
      <c r="J238">
        <v>0</v>
      </c>
      <c r="K238" t="s">
        <v>18</v>
      </c>
      <c r="L238" t="s">
        <v>19</v>
      </c>
      <c r="M238" t="s">
        <v>49</v>
      </c>
      <c r="N238" t="s">
        <v>17</v>
      </c>
    </row>
    <row r="239" spans="1:14">
      <c r="A239">
        <v>25555</v>
      </c>
      <c r="B239" t="s">
        <v>41</v>
      </c>
      <c r="C239" t="s">
        <v>43</v>
      </c>
      <c r="D239" s="3">
        <v>10000</v>
      </c>
      <c r="E239" s="3" t="s">
        <v>45</v>
      </c>
      <c r="F239">
        <v>0</v>
      </c>
      <c r="G239" t="s">
        <v>21</v>
      </c>
      <c r="H239" t="s">
        <v>28</v>
      </c>
      <c r="I239" t="s">
        <v>48</v>
      </c>
      <c r="J239">
        <v>1</v>
      </c>
      <c r="K239" t="s">
        <v>18</v>
      </c>
      <c r="L239" t="s">
        <v>27</v>
      </c>
      <c r="M239" t="s">
        <v>52</v>
      </c>
      <c r="N239" t="s">
        <v>17</v>
      </c>
    </row>
    <row r="240" spans="1:14">
      <c r="A240">
        <v>22006</v>
      </c>
      <c r="B240" t="s">
        <v>41</v>
      </c>
      <c r="C240" t="s">
        <v>44</v>
      </c>
      <c r="D240" s="3">
        <v>70000</v>
      </c>
      <c r="E240" s="3" t="s">
        <v>46</v>
      </c>
      <c r="F240">
        <v>5</v>
      </c>
      <c r="G240" t="s">
        <v>21</v>
      </c>
      <c r="H240" t="s">
        <v>16</v>
      </c>
      <c r="I240" t="s">
        <v>7</v>
      </c>
      <c r="J240">
        <v>3</v>
      </c>
      <c r="K240" t="s">
        <v>26</v>
      </c>
      <c r="L240" t="s">
        <v>27</v>
      </c>
      <c r="M240" t="s">
        <v>51</v>
      </c>
      <c r="N240" t="s">
        <v>20</v>
      </c>
    </row>
    <row r="241" spans="1:14">
      <c r="A241">
        <v>20060</v>
      </c>
      <c r="B241" t="s">
        <v>42</v>
      </c>
      <c r="C241" t="s">
        <v>43</v>
      </c>
      <c r="D241" s="3">
        <v>30000</v>
      </c>
      <c r="E241" s="3" t="s">
        <v>45</v>
      </c>
      <c r="F241">
        <v>0</v>
      </c>
      <c r="G241" t="s">
        <v>30</v>
      </c>
      <c r="H241" t="s">
        <v>28</v>
      </c>
      <c r="I241" t="s">
        <v>48</v>
      </c>
      <c r="J241">
        <v>1</v>
      </c>
      <c r="K241" t="s">
        <v>24</v>
      </c>
      <c r="L241" t="s">
        <v>19</v>
      </c>
      <c r="M241" t="s">
        <v>52</v>
      </c>
      <c r="N241" t="s">
        <v>17</v>
      </c>
    </row>
    <row r="242" spans="1:14">
      <c r="A242">
        <v>17702</v>
      </c>
      <c r="B242" t="s">
        <v>41</v>
      </c>
      <c r="C242" t="s">
        <v>44</v>
      </c>
      <c r="D242" s="3">
        <v>10000</v>
      </c>
      <c r="E242" s="3" t="s">
        <v>45</v>
      </c>
      <c r="F242">
        <v>1</v>
      </c>
      <c r="G242" t="s">
        <v>34</v>
      </c>
      <c r="H242" t="s">
        <v>28</v>
      </c>
      <c r="I242" t="s">
        <v>7</v>
      </c>
      <c r="J242">
        <v>0</v>
      </c>
      <c r="K242" t="s">
        <v>18</v>
      </c>
      <c r="L242" t="s">
        <v>19</v>
      </c>
      <c r="M242" t="s">
        <v>49</v>
      </c>
      <c r="N242" t="s">
        <v>20</v>
      </c>
    </row>
    <row r="243" spans="1:14">
      <c r="A243">
        <v>12503</v>
      </c>
      <c r="B243" t="s">
        <v>42</v>
      </c>
      <c r="C243" t="s">
        <v>43</v>
      </c>
      <c r="D243" s="3">
        <v>30000</v>
      </c>
      <c r="E243" s="3" t="s">
        <v>45</v>
      </c>
      <c r="F243">
        <v>3</v>
      </c>
      <c r="G243" t="s">
        <v>21</v>
      </c>
      <c r="H243" t="s">
        <v>22</v>
      </c>
      <c r="I243" t="s">
        <v>7</v>
      </c>
      <c r="J243">
        <v>2</v>
      </c>
      <c r="K243" t="s">
        <v>18</v>
      </c>
      <c r="L243" t="s">
        <v>19</v>
      </c>
      <c r="M243" t="s">
        <v>52</v>
      </c>
      <c r="N243" t="s">
        <v>20</v>
      </c>
    </row>
    <row r="244" spans="1:14">
      <c r="A244">
        <v>23908</v>
      </c>
      <c r="B244" t="s">
        <v>42</v>
      </c>
      <c r="C244" t="s">
        <v>44</v>
      </c>
      <c r="D244" s="3">
        <v>30000</v>
      </c>
      <c r="E244" s="3" t="s">
        <v>45</v>
      </c>
      <c r="F244">
        <v>1</v>
      </c>
      <c r="G244" t="s">
        <v>15</v>
      </c>
      <c r="H244" t="s">
        <v>22</v>
      </c>
      <c r="I244" t="s">
        <v>48</v>
      </c>
      <c r="J244">
        <v>1</v>
      </c>
      <c r="K244" t="s">
        <v>18</v>
      </c>
      <c r="L244" t="s">
        <v>19</v>
      </c>
      <c r="M244" t="s">
        <v>49</v>
      </c>
      <c r="N244" t="s">
        <v>17</v>
      </c>
    </row>
    <row r="245" spans="1:14">
      <c r="A245">
        <v>22527</v>
      </c>
      <c r="B245" t="s">
        <v>42</v>
      </c>
      <c r="C245" t="s">
        <v>43</v>
      </c>
      <c r="D245" s="3">
        <v>20000</v>
      </c>
      <c r="E245" s="3" t="s">
        <v>45</v>
      </c>
      <c r="F245">
        <v>0</v>
      </c>
      <c r="G245" t="s">
        <v>30</v>
      </c>
      <c r="H245" t="s">
        <v>28</v>
      </c>
      <c r="I245" t="s">
        <v>48</v>
      </c>
      <c r="J245">
        <v>1</v>
      </c>
      <c r="K245" t="s">
        <v>24</v>
      </c>
      <c r="L245" t="s">
        <v>19</v>
      </c>
      <c r="M245" t="s">
        <v>52</v>
      </c>
      <c r="N245" t="s">
        <v>20</v>
      </c>
    </row>
    <row r="246" spans="1:14">
      <c r="A246">
        <v>19057</v>
      </c>
      <c r="B246" t="s">
        <v>41</v>
      </c>
      <c r="C246" t="s">
        <v>43</v>
      </c>
      <c r="D246" s="3">
        <v>120000</v>
      </c>
      <c r="E246" s="3" t="s">
        <v>47</v>
      </c>
      <c r="F246">
        <v>3</v>
      </c>
      <c r="G246" t="s">
        <v>15</v>
      </c>
      <c r="H246" t="s">
        <v>31</v>
      </c>
      <c r="I246" t="s">
        <v>48</v>
      </c>
      <c r="J246">
        <v>2</v>
      </c>
      <c r="K246" t="s">
        <v>33</v>
      </c>
      <c r="L246" t="s">
        <v>19</v>
      </c>
      <c r="M246" t="s">
        <v>51</v>
      </c>
      <c r="N246" t="s">
        <v>17</v>
      </c>
    </row>
    <row r="247" spans="1:14">
      <c r="A247">
        <v>18494</v>
      </c>
      <c r="B247" t="s">
        <v>41</v>
      </c>
      <c r="C247" t="s">
        <v>44</v>
      </c>
      <c r="D247" s="3">
        <v>110000</v>
      </c>
      <c r="E247" s="3" t="s">
        <v>46</v>
      </c>
      <c r="F247">
        <v>5</v>
      </c>
      <c r="G247" t="s">
        <v>15</v>
      </c>
      <c r="H247" t="s">
        <v>31</v>
      </c>
      <c r="I247" t="s">
        <v>7</v>
      </c>
      <c r="J247">
        <v>4</v>
      </c>
      <c r="K247" t="s">
        <v>24</v>
      </c>
      <c r="L247" t="s">
        <v>27</v>
      </c>
      <c r="M247" t="s">
        <v>51</v>
      </c>
      <c r="N247" t="s">
        <v>17</v>
      </c>
    </row>
    <row r="248" spans="1:14">
      <c r="A248">
        <v>11249</v>
      </c>
      <c r="B248" t="s">
        <v>41</v>
      </c>
      <c r="C248" t="s">
        <v>43</v>
      </c>
      <c r="D248" s="3">
        <v>130000</v>
      </c>
      <c r="E248" s="3" t="s">
        <v>47</v>
      </c>
      <c r="F248">
        <v>3</v>
      </c>
      <c r="G248" t="s">
        <v>21</v>
      </c>
      <c r="H248" t="s">
        <v>23</v>
      </c>
      <c r="I248" t="s">
        <v>7</v>
      </c>
      <c r="J248">
        <v>3</v>
      </c>
      <c r="K248" t="s">
        <v>18</v>
      </c>
      <c r="L248" t="s">
        <v>19</v>
      </c>
      <c r="M248" t="s">
        <v>51</v>
      </c>
      <c r="N248" t="s">
        <v>17</v>
      </c>
    </row>
    <row r="249" spans="1:14">
      <c r="A249">
        <v>21568</v>
      </c>
      <c r="B249" t="s">
        <v>41</v>
      </c>
      <c r="C249" t="s">
        <v>43</v>
      </c>
      <c r="D249" s="3">
        <v>100000</v>
      </c>
      <c r="E249" s="3" t="s">
        <v>46</v>
      </c>
      <c r="F249">
        <v>0</v>
      </c>
      <c r="G249" t="s">
        <v>30</v>
      </c>
      <c r="H249" t="s">
        <v>31</v>
      </c>
      <c r="I249" t="s">
        <v>7</v>
      </c>
      <c r="J249">
        <v>4</v>
      </c>
      <c r="K249" t="s">
        <v>33</v>
      </c>
      <c r="L249" t="s">
        <v>27</v>
      </c>
      <c r="M249" t="s">
        <v>52</v>
      </c>
      <c r="N249" t="s">
        <v>17</v>
      </c>
    </row>
    <row r="250" spans="1:14">
      <c r="A250">
        <v>13981</v>
      </c>
      <c r="B250" t="s">
        <v>41</v>
      </c>
      <c r="C250" t="s">
        <v>43</v>
      </c>
      <c r="D250" s="3">
        <v>10000</v>
      </c>
      <c r="E250" s="3" t="s">
        <v>45</v>
      </c>
      <c r="F250">
        <v>5</v>
      </c>
      <c r="G250" t="s">
        <v>30</v>
      </c>
      <c r="H250" t="s">
        <v>16</v>
      </c>
      <c r="I250" t="s">
        <v>48</v>
      </c>
      <c r="J250">
        <v>3</v>
      </c>
      <c r="K250" t="s">
        <v>29</v>
      </c>
      <c r="L250" t="s">
        <v>27</v>
      </c>
      <c r="M250" t="s">
        <v>50</v>
      </c>
      <c r="N250" t="s">
        <v>20</v>
      </c>
    </row>
    <row r="251" spans="1:14">
      <c r="A251">
        <v>23432</v>
      </c>
      <c r="B251" t="s">
        <v>42</v>
      </c>
      <c r="C251" t="s">
        <v>44</v>
      </c>
      <c r="D251" s="3">
        <v>70000</v>
      </c>
      <c r="E251" s="3" t="s">
        <v>46</v>
      </c>
      <c r="F251">
        <v>0</v>
      </c>
      <c r="G251" t="s">
        <v>15</v>
      </c>
      <c r="H251" t="s">
        <v>23</v>
      </c>
      <c r="I251" t="s">
        <v>7</v>
      </c>
      <c r="J251">
        <v>1</v>
      </c>
      <c r="K251" t="s">
        <v>26</v>
      </c>
      <c r="L251" t="s">
        <v>27</v>
      </c>
      <c r="M251" t="s">
        <v>49</v>
      </c>
      <c r="N251" t="s">
        <v>17</v>
      </c>
    </row>
    <row r="252" spans="1:14">
      <c r="A252">
        <v>22931</v>
      </c>
      <c r="B252" t="s">
        <v>41</v>
      </c>
      <c r="C252" t="s">
        <v>44</v>
      </c>
      <c r="D252" s="3">
        <v>100000</v>
      </c>
      <c r="E252" s="3" t="s">
        <v>46</v>
      </c>
      <c r="F252">
        <v>5</v>
      </c>
      <c r="G252" t="s">
        <v>34</v>
      </c>
      <c r="H252" t="s">
        <v>31</v>
      </c>
      <c r="I252" t="s">
        <v>48</v>
      </c>
      <c r="J252">
        <v>1</v>
      </c>
      <c r="K252" t="s">
        <v>29</v>
      </c>
      <c r="L252" t="s">
        <v>27</v>
      </c>
      <c r="M252" t="s">
        <v>53</v>
      </c>
      <c r="N252" t="s">
        <v>17</v>
      </c>
    </row>
    <row r="253" spans="1:14">
      <c r="A253">
        <v>18172</v>
      </c>
      <c r="B253" t="s">
        <v>41</v>
      </c>
      <c r="C253" t="s">
        <v>44</v>
      </c>
      <c r="D253" s="3">
        <v>130000</v>
      </c>
      <c r="E253" s="3" t="s">
        <v>47</v>
      </c>
      <c r="F253">
        <v>4</v>
      </c>
      <c r="G253" t="s">
        <v>30</v>
      </c>
      <c r="H253" t="s">
        <v>23</v>
      </c>
      <c r="I253" t="s">
        <v>7</v>
      </c>
      <c r="J253">
        <v>3</v>
      </c>
      <c r="K253" t="s">
        <v>18</v>
      </c>
      <c r="L253" t="s">
        <v>19</v>
      </c>
      <c r="M253" t="s">
        <v>50</v>
      </c>
      <c r="N253" t="s">
        <v>20</v>
      </c>
    </row>
    <row r="254" spans="1:14">
      <c r="A254">
        <v>12666</v>
      </c>
      <c r="B254" t="s">
        <v>42</v>
      </c>
      <c r="C254" t="s">
        <v>44</v>
      </c>
      <c r="D254" s="3">
        <v>60000</v>
      </c>
      <c r="E254" s="3" t="s">
        <v>46</v>
      </c>
      <c r="F254">
        <v>0</v>
      </c>
      <c r="G254" t="s">
        <v>15</v>
      </c>
      <c r="H254" t="s">
        <v>23</v>
      </c>
      <c r="I254" t="s">
        <v>48</v>
      </c>
      <c r="J254">
        <v>4</v>
      </c>
      <c r="K254" t="s">
        <v>24</v>
      </c>
      <c r="L254" t="s">
        <v>27</v>
      </c>
      <c r="M254" t="s">
        <v>52</v>
      </c>
      <c r="N254" t="s">
        <v>20</v>
      </c>
    </row>
    <row r="255" spans="1:14">
      <c r="A255">
        <v>20598</v>
      </c>
      <c r="B255" t="s">
        <v>41</v>
      </c>
      <c r="C255" t="s">
        <v>44</v>
      </c>
      <c r="D255" s="3">
        <v>100000</v>
      </c>
      <c r="E255" s="3" t="s">
        <v>46</v>
      </c>
      <c r="F255">
        <v>3</v>
      </c>
      <c r="G255" t="s">
        <v>32</v>
      </c>
      <c r="H255" t="s">
        <v>23</v>
      </c>
      <c r="I255" t="s">
        <v>7</v>
      </c>
      <c r="J255">
        <v>0</v>
      </c>
      <c r="K255" t="s">
        <v>33</v>
      </c>
      <c r="L255" t="s">
        <v>19</v>
      </c>
      <c r="M255" t="s">
        <v>50</v>
      </c>
      <c r="N255" t="s">
        <v>17</v>
      </c>
    </row>
    <row r="256" spans="1:14">
      <c r="A256">
        <v>21375</v>
      </c>
      <c r="B256" t="s">
        <v>42</v>
      </c>
      <c r="C256" t="s">
        <v>44</v>
      </c>
      <c r="D256" s="3">
        <v>20000</v>
      </c>
      <c r="E256" s="3" t="s">
        <v>45</v>
      </c>
      <c r="F256">
        <v>2</v>
      </c>
      <c r="G256" t="s">
        <v>32</v>
      </c>
      <c r="H256" t="s">
        <v>22</v>
      </c>
      <c r="I256" t="s">
        <v>7</v>
      </c>
      <c r="J256">
        <v>2</v>
      </c>
      <c r="K256" t="s">
        <v>26</v>
      </c>
      <c r="L256" t="s">
        <v>27</v>
      </c>
      <c r="M256" t="s">
        <v>50</v>
      </c>
      <c r="N256" t="s">
        <v>20</v>
      </c>
    </row>
    <row r="257" spans="1:14">
      <c r="A257">
        <v>20839</v>
      </c>
      <c r="B257" t="s">
        <v>42</v>
      </c>
      <c r="C257" t="s">
        <v>43</v>
      </c>
      <c r="D257" s="3">
        <v>30000</v>
      </c>
      <c r="E257" s="3" t="s">
        <v>45</v>
      </c>
      <c r="F257">
        <v>3</v>
      </c>
      <c r="G257" t="s">
        <v>34</v>
      </c>
      <c r="H257" t="s">
        <v>22</v>
      </c>
      <c r="I257" t="s">
        <v>7</v>
      </c>
      <c r="J257">
        <v>0</v>
      </c>
      <c r="K257" t="s">
        <v>18</v>
      </c>
      <c r="L257" t="s">
        <v>19</v>
      </c>
      <c r="M257" t="s">
        <v>51</v>
      </c>
      <c r="N257" t="s">
        <v>17</v>
      </c>
    </row>
    <row r="258" spans="1:14">
      <c r="A258">
        <v>21738</v>
      </c>
      <c r="B258" t="s">
        <v>41</v>
      </c>
      <c r="C258" t="s">
        <v>44</v>
      </c>
      <c r="D258" s="3">
        <v>20000</v>
      </c>
      <c r="E258" s="3" t="s">
        <v>45</v>
      </c>
      <c r="F258">
        <v>1</v>
      </c>
      <c r="G258" t="s">
        <v>34</v>
      </c>
      <c r="H258" t="s">
        <v>22</v>
      </c>
      <c r="I258" t="s">
        <v>7</v>
      </c>
      <c r="J258">
        <v>0</v>
      </c>
      <c r="K258" t="s">
        <v>18</v>
      </c>
      <c r="L258" t="s">
        <v>19</v>
      </c>
      <c r="M258" t="s">
        <v>49</v>
      </c>
      <c r="N258" t="s">
        <v>20</v>
      </c>
    </row>
    <row r="259" spans="1:14">
      <c r="A259">
        <v>14164</v>
      </c>
      <c r="B259" t="s">
        <v>42</v>
      </c>
      <c r="C259" t="s">
        <v>43</v>
      </c>
      <c r="D259" s="3">
        <v>50000</v>
      </c>
      <c r="E259" s="3" t="s">
        <v>45</v>
      </c>
      <c r="F259">
        <v>0</v>
      </c>
      <c r="G259" t="s">
        <v>34</v>
      </c>
      <c r="H259" t="s">
        <v>16</v>
      </c>
      <c r="I259" t="s">
        <v>7</v>
      </c>
      <c r="J259">
        <v>0</v>
      </c>
      <c r="K259" t="s">
        <v>18</v>
      </c>
      <c r="L259" t="s">
        <v>19</v>
      </c>
      <c r="M259" t="s">
        <v>49</v>
      </c>
      <c r="N259" t="s">
        <v>17</v>
      </c>
    </row>
    <row r="260" spans="1:14">
      <c r="A260">
        <v>14193</v>
      </c>
      <c r="B260" t="s">
        <v>42</v>
      </c>
      <c r="C260" t="s">
        <v>43</v>
      </c>
      <c r="D260" s="3">
        <v>100000</v>
      </c>
      <c r="E260" s="3" t="s">
        <v>46</v>
      </c>
      <c r="F260">
        <v>3</v>
      </c>
      <c r="G260" t="s">
        <v>21</v>
      </c>
      <c r="H260" t="s">
        <v>31</v>
      </c>
      <c r="I260" t="s">
        <v>7</v>
      </c>
      <c r="J260">
        <v>4</v>
      </c>
      <c r="K260" t="s">
        <v>33</v>
      </c>
      <c r="L260" t="s">
        <v>19</v>
      </c>
      <c r="M260" t="s">
        <v>50</v>
      </c>
      <c r="N260" t="s">
        <v>20</v>
      </c>
    </row>
    <row r="261" spans="1:14">
      <c r="A261">
        <v>12705</v>
      </c>
      <c r="B261" t="s">
        <v>41</v>
      </c>
      <c r="C261" t="s">
        <v>44</v>
      </c>
      <c r="D261" s="3">
        <v>150000</v>
      </c>
      <c r="E261" s="3" t="s">
        <v>47</v>
      </c>
      <c r="F261">
        <v>0</v>
      </c>
      <c r="G261" t="s">
        <v>15</v>
      </c>
      <c r="H261" t="s">
        <v>31</v>
      </c>
      <c r="I261" t="s">
        <v>7</v>
      </c>
      <c r="J261">
        <v>4</v>
      </c>
      <c r="K261" t="s">
        <v>18</v>
      </c>
      <c r="L261" t="s">
        <v>27</v>
      </c>
      <c r="M261" t="s">
        <v>49</v>
      </c>
      <c r="N261" t="s">
        <v>17</v>
      </c>
    </row>
    <row r="262" spans="1:14">
      <c r="A262">
        <v>22672</v>
      </c>
      <c r="B262" t="s">
        <v>42</v>
      </c>
      <c r="C262" t="s">
        <v>43</v>
      </c>
      <c r="D262" s="3">
        <v>30000</v>
      </c>
      <c r="E262" s="3" t="s">
        <v>45</v>
      </c>
      <c r="F262">
        <v>2</v>
      </c>
      <c r="G262" t="s">
        <v>21</v>
      </c>
      <c r="H262" t="s">
        <v>22</v>
      </c>
      <c r="I262" t="s">
        <v>7</v>
      </c>
      <c r="J262">
        <v>0</v>
      </c>
      <c r="K262" t="s">
        <v>18</v>
      </c>
      <c r="L262" t="s">
        <v>19</v>
      </c>
      <c r="M262" t="s">
        <v>49</v>
      </c>
      <c r="N262" t="s">
        <v>20</v>
      </c>
    </row>
    <row r="263" spans="1:14">
      <c r="A263">
        <v>26219</v>
      </c>
      <c r="B263" t="s">
        <v>41</v>
      </c>
      <c r="C263" t="s">
        <v>43</v>
      </c>
      <c r="D263" s="3">
        <v>40000</v>
      </c>
      <c r="E263" s="3" t="s">
        <v>45</v>
      </c>
      <c r="F263">
        <v>1</v>
      </c>
      <c r="G263" t="s">
        <v>15</v>
      </c>
      <c r="H263" t="s">
        <v>16</v>
      </c>
      <c r="I263" t="s">
        <v>7</v>
      </c>
      <c r="J263">
        <v>1</v>
      </c>
      <c r="K263" t="s">
        <v>29</v>
      </c>
      <c r="L263" t="s">
        <v>19</v>
      </c>
      <c r="M263" t="s">
        <v>52</v>
      </c>
      <c r="N263" t="s">
        <v>17</v>
      </c>
    </row>
    <row r="264" spans="1:14">
      <c r="A264">
        <v>28468</v>
      </c>
      <c r="B264" t="s">
        <v>41</v>
      </c>
      <c r="C264" t="s">
        <v>43</v>
      </c>
      <c r="D264" s="3">
        <v>10000</v>
      </c>
      <c r="E264" s="3" t="s">
        <v>45</v>
      </c>
      <c r="F264">
        <v>2</v>
      </c>
      <c r="G264" t="s">
        <v>21</v>
      </c>
      <c r="H264" t="s">
        <v>28</v>
      </c>
      <c r="I264" t="s">
        <v>7</v>
      </c>
      <c r="J264">
        <v>0</v>
      </c>
      <c r="K264" t="s">
        <v>29</v>
      </c>
      <c r="L264" t="s">
        <v>19</v>
      </c>
      <c r="M264" t="s">
        <v>51</v>
      </c>
      <c r="N264" t="s">
        <v>20</v>
      </c>
    </row>
    <row r="265" spans="1:14">
      <c r="A265">
        <v>23419</v>
      </c>
      <c r="B265" t="s">
        <v>42</v>
      </c>
      <c r="C265" t="s">
        <v>43</v>
      </c>
      <c r="D265" s="3">
        <v>70000</v>
      </c>
      <c r="E265" s="3" t="s">
        <v>46</v>
      </c>
      <c r="F265">
        <v>5</v>
      </c>
      <c r="G265" t="s">
        <v>15</v>
      </c>
      <c r="H265" t="s">
        <v>23</v>
      </c>
      <c r="I265" t="s">
        <v>7</v>
      </c>
      <c r="J265">
        <v>3</v>
      </c>
      <c r="K265" t="s">
        <v>33</v>
      </c>
      <c r="L265" t="s">
        <v>27</v>
      </c>
      <c r="M265" t="s">
        <v>49</v>
      </c>
      <c r="N265" t="s">
        <v>20</v>
      </c>
    </row>
    <row r="266" spans="1:14">
      <c r="A266">
        <v>17964</v>
      </c>
      <c r="B266" t="s">
        <v>41</v>
      </c>
      <c r="C266" t="s">
        <v>44</v>
      </c>
      <c r="D266" s="3">
        <v>40000</v>
      </c>
      <c r="E266" s="3" t="s">
        <v>45</v>
      </c>
      <c r="F266">
        <v>0</v>
      </c>
      <c r="G266" t="s">
        <v>34</v>
      </c>
      <c r="H266" t="s">
        <v>22</v>
      </c>
      <c r="I266" t="s">
        <v>7</v>
      </c>
      <c r="J266">
        <v>0</v>
      </c>
      <c r="K266" t="s">
        <v>18</v>
      </c>
      <c r="L266" t="s">
        <v>19</v>
      </c>
      <c r="M266" t="s">
        <v>49</v>
      </c>
      <c r="N266" t="s">
        <v>17</v>
      </c>
    </row>
    <row r="267" spans="1:14">
      <c r="A267">
        <v>20919</v>
      </c>
      <c r="B267" t="s">
        <v>42</v>
      </c>
      <c r="C267" t="s">
        <v>43</v>
      </c>
      <c r="D267" s="3">
        <v>30000</v>
      </c>
      <c r="E267" s="3" t="s">
        <v>45</v>
      </c>
      <c r="F267">
        <v>2</v>
      </c>
      <c r="G267" t="s">
        <v>21</v>
      </c>
      <c r="H267" t="s">
        <v>22</v>
      </c>
      <c r="I267" t="s">
        <v>7</v>
      </c>
      <c r="J267">
        <v>2</v>
      </c>
      <c r="K267" t="s">
        <v>18</v>
      </c>
      <c r="L267" t="s">
        <v>19</v>
      </c>
      <c r="M267" t="s">
        <v>49</v>
      </c>
      <c r="N267" t="s">
        <v>20</v>
      </c>
    </row>
    <row r="268" spans="1:14">
      <c r="A268">
        <v>20927</v>
      </c>
      <c r="B268" t="s">
        <v>42</v>
      </c>
      <c r="C268" t="s">
        <v>43</v>
      </c>
      <c r="D268" s="3">
        <v>20000</v>
      </c>
      <c r="E268" s="3" t="s">
        <v>45</v>
      </c>
      <c r="F268">
        <v>5</v>
      </c>
      <c r="G268" t="s">
        <v>30</v>
      </c>
      <c r="H268" t="s">
        <v>28</v>
      </c>
      <c r="I268" t="s">
        <v>7</v>
      </c>
      <c r="J268">
        <v>2</v>
      </c>
      <c r="K268" t="s">
        <v>18</v>
      </c>
      <c r="L268" t="s">
        <v>19</v>
      </c>
      <c r="M268" t="s">
        <v>52</v>
      </c>
      <c r="N268" t="s">
        <v>20</v>
      </c>
    </row>
    <row r="269" spans="1:14">
      <c r="A269">
        <v>13133</v>
      </c>
      <c r="B269" t="s">
        <v>42</v>
      </c>
      <c r="C269" t="s">
        <v>44</v>
      </c>
      <c r="D269" s="3">
        <v>100000</v>
      </c>
      <c r="E269" s="3" t="s">
        <v>46</v>
      </c>
      <c r="F269">
        <v>5</v>
      </c>
      <c r="G269" t="s">
        <v>15</v>
      </c>
      <c r="H269" t="s">
        <v>23</v>
      </c>
      <c r="I269" t="s">
        <v>7</v>
      </c>
      <c r="J269">
        <v>1</v>
      </c>
      <c r="K269" t="s">
        <v>26</v>
      </c>
      <c r="L269" t="s">
        <v>27</v>
      </c>
      <c r="M269" t="s">
        <v>51</v>
      </c>
      <c r="N269" t="s">
        <v>17</v>
      </c>
    </row>
    <row r="270" spans="1:14">
      <c r="A270">
        <v>19626</v>
      </c>
      <c r="B270" t="s">
        <v>41</v>
      </c>
      <c r="C270" t="s">
        <v>44</v>
      </c>
      <c r="D270" s="3">
        <v>70000</v>
      </c>
      <c r="E270" s="3" t="s">
        <v>46</v>
      </c>
      <c r="F270">
        <v>5</v>
      </c>
      <c r="G270" t="s">
        <v>21</v>
      </c>
      <c r="H270" t="s">
        <v>16</v>
      </c>
      <c r="I270" t="s">
        <v>7</v>
      </c>
      <c r="J270">
        <v>3</v>
      </c>
      <c r="K270" t="s">
        <v>26</v>
      </c>
      <c r="L270" t="s">
        <v>27</v>
      </c>
      <c r="M270" t="s">
        <v>51</v>
      </c>
      <c r="N270" t="s">
        <v>20</v>
      </c>
    </row>
    <row r="271" spans="1:14">
      <c r="A271">
        <v>21039</v>
      </c>
      <c r="B271" t="s">
        <v>42</v>
      </c>
      <c r="C271" t="s">
        <v>43</v>
      </c>
      <c r="D271" s="3">
        <v>50000</v>
      </c>
      <c r="E271" s="3" t="s">
        <v>45</v>
      </c>
      <c r="F271">
        <v>0</v>
      </c>
      <c r="G271" t="s">
        <v>34</v>
      </c>
      <c r="H271" t="s">
        <v>16</v>
      </c>
      <c r="I271" t="s">
        <v>48</v>
      </c>
      <c r="J271">
        <v>0</v>
      </c>
      <c r="K271" t="s">
        <v>18</v>
      </c>
      <c r="L271" t="s">
        <v>19</v>
      </c>
      <c r="M271" t="s">
        <v>49</v>
      </c>
      <c r="N271" t="s">
        <v>17</v>
      </c>
    </row>
    <row r="272" spans="1:14">
      <c r="A272">
        <v>12231</v>
      </c>
      <c r="B272" t="s">
        <v>42</v>
      </c>
      <c r="C272" t="s">
        <v>43</v>
      </c>
      <c r="D272" s="3">
        <v>10000</v>
      </c>
      <c r="E272" s="3" t="s">
        <v>45</v>
      </c>
      <c r="F272">
        <v>2</v>
      </c>
      <c r="G272" t="s">
        <v>21</v>
      </c>
      <c r="H272" t="s">
        <v>28</v>
      </c>
      <c r="I272" t="s">
        <v>7</v>
      </c>
      <c r="J272">
        <v>0</v>
      </c>
      <c r="K272" t="s">
        <v>18</v>
      </c>
      <c r="L272" t="s">
        <v>19</v>
      </c>
      <c r="M272" t="s">
        <v>51</v>
      </c>
      <c r="N272" t="s">
        <v>17</v>
      </c>
    </row>
    <row r="273" spans="1:14">
      <c r="A273">
        <v>25665</v>
      </c>
      <c r="B273" t="s">
        <v>42</v>
      </c>
      <c r="C273" t="s">
        <v>43</v>
      </c>
      <c r="D273" s="3">
        <v>20000</v>
      </c>
      <c r="E273" s="3" t="s">
        <v>45</v>
      </c>
      <c r="F273">
        <v>0</v>
      </c>
      <c r="G273" t="s">
        <v>30</v>
      </c>
      <c r="H273" t="s">
        <v>28</v>
      </c>
      <c r="I273" t="s">
        <v>48</v>
      </c>
      <c r="J273">
        <v>1</v>
      </c>
      <c r="K273" t="s">
        <v>29</v>
      </c>
      <c r="L273" t="s">
        <v>19</v>
      </c>
      <c r="M273" t="s">
        <v>52</v>
      </c>
      <c r="N273" t="s">
        <v>20</v>
      </c>
    </row>
    <row r="274" spans="1:14">
      <c r="A274">
        <v>24061</v>
      </c>
      <c r="B274" t="s">
        <v>41</v>
      </c>
      <c r="C274" t="s">
        <v>44</v>
      </c>
      <c r="D274" s="3">
        <v>10000</v>
      </c>
      <c r="E274" s="3" t="s">
        <v>45</v>
      </c>
      <c r="F274">
        <v>4</v>
      </c>
      <c r="G274" t="s">
        <v>32</v>
      </c>
      <c r="H274" t="s">
        <v>28</v>
      </c>
      <c r="I274" t="s">
        <v>7</v>
      </c>
      <c r="J274">
        <v>1</v>
      </c>
      <c r="K274" t="s">
        <v>18</v>
      </c>
      <c r="L274" t="s">
        <v>19</v>
      </c>
      <c r="M274" t="s">
        <v>49</v>
      </c>
      <c r="N274" t="s">
        <v>17</v>
      </c>
    </row>
    <row r="275" spans="1:14">
      <c r="A275">
        <v>26879</v>
      </c>
      <c r="B275" t="s">
        <v>42</v>
      </c>
      <c r="C275" t="s">
        <v>43</v>
      </c>
      <c r="D275" s="3">
        <v>20000</v>
      </c>
      <c r="E275" s="3" t="s">
        <v>45</v>
      </c>
      <c r="F275">
        <v>0</v>
      </c>
      <c r="G275" t="s">
        <v>30</v>
      </c>
      <c r="H275" t="s">
        <v>28</v>
      </c>
      <c r="I275" t="s">
        <v>48</v>
      </c>
      <c r="J275">
        <v>1</v>
      </c>
      <c r="K275" t="s">
        <v>24</v>
      </c>
      <c r="L275" t="s">
        <v>19</v>
      </c>
      <c r="M275" t="s">
        <v>52</v>
      </c>
      <c r="N275" t="s">
        <v>20</v>
      </c>
    </row>
    <row r="276" spans="1:14">
      <c r="A276">
        <v>12284</v>
      </c>
      <c r="B276" t="s">
        <v>41</v>
      </c>
      <c r="C276" t="s">
        <v>43</v>
      </c>
      <c r="D276" s="3">
        <v>30000</v>
      </c>
      <c r="E276" s="3" t="s">
        <v>45</v>
      </c>
      <c r="F276">
        <v>0</v>
      </c>
      <c r="G276" t="s">
        <v>15</v>
      </c>
      <c r="H276" t="s">
        <v>22</v>
      </c>
      <c r="I276" t="s">
        <v>48</v>
      </c>
      <c r="J276">
        <v>0</v>
      </c>
      <c r="K276" t="s">
        <v>18</v>
      </c>
      <c r="L276" t="s">
        <v>19</v>
      </c>
      <c r="M276" t="s">
        <v>49</v>
      </c>
      <c r="N276" t="s">
        <v>17</v>
      </c>
    </row>
    <row r="277" spans="1:14">
      <c r="A277">
        <v>26654</v>
      </c>
      <c r="B277" t="s">
        <v>41</v>
      </c>
      <c r="C277" t="s">
        <v>43</v>
      </c>
      <c r="D277" s="3">
        <v>90000</v>
      </c>
      <c r="E277" s="3" t="s">
        <v>46</v>
      </c>
      <c r="F277">
        <v>1</v>
      </c>
      <c r="G277" t="s">
        <v>34</v>
      </c>
      <c r="H277" t="s">
        <v>31</v>
      </c>
      <c r="I277" t="s">
        <v>7</v>
      </c>
      <c r="J277">
        <v>0</v>
      </c>
      <c r="K277" t="s">
        <v>18</v>
      </c>
      <c r="L277" t="s">
        <v>27</v>
      </c>
      <c r="M277" t="s">
        <v>49</v>
      </c>
      <c r="N277" t="s">
        <v>17</v>
      </c>
    </row>
    <row r="278" spans="1:14">
      <c r="A278">
        <v>14545</v>
      </c>
      <c r="B278" t="s">
        <v>41</v>
      </c>
      <c r="C278" t="s">
        <v>43</v>
      </c>
      <c r="D278" s="3">
        <v>10000</v>
      </c>
      <c r="E278" s="3" t="s">
        <v>45</v>
      </c>
      <c r="F278">
        <v>2</v>
      </c>
      <c r="G278" t="s">
        <v>21</v>
      </c>
      <c r="H278" t="s">
        <v>28</v>
      </c>
      <c r="I278" t="s">
        <v>7</v>
      </c>
      <c r="J278">
        <v>0</v>
      </c>
      <c r="K278" t="s">
        <v>29</v>
      </c>
      <c r="L278" t="s">
        <v>19</v>
      </c>
      <c r="M278" t="s">
        <v>51</v>
      </c>
      <c r="N278" t="s">
        <v>20</v>
      </c>
    </row>
    <row r="279" spans="1:14">
      <c r="A279">
        <v>24201</v>
      </c>
      <c r="B279" t="s">
        <v>41</v>
      </c>
      <c r="C279" t="s">
        <v>43</v>
      </c>
      <c r="D279" s="3">
        <v>10000</v>
      </c>
      <c r="E279" s="3" t="s">
        <v>45</v>
      </c>
      <c r="F279">
        <v>2</v>
      </c>
      <c r="G279" t="s">
        <v>30</v>
      </c>
      <c r="H279" t="s">
        <v>28</v>
      </c>
      <c r="I279" t="s">
        <v>7</v>
      </c>
      <c r="J279">
        <v>0</v>
      </c>
      <c r="K279" t="s">
        <v>18</v>
      </c>
      <c r="L279" t="s">
        <v>19</v>
      </c>
      <c r="M279" t="s">
        <v>49</v>
      </c>
      <c r="N279" t="s">
        <v>17</v>
      </c>
    </row>
    <row r="280" spans="1:14">
      <c r="A280">
        <v>20625</v>
      </c>
      <c r="B280" t="s">
        <v>41</v>
      </c>
      <c r="C280" t="s">
        <v>44</v>
      </c>
      <c r="D280" s="3">
        <v>100000</v>
      </c>
      <c r="E280" s="3" t="s">
        <v>46</v>
      </c>
      <c r="F280">
        <v>0</v>
      </c>
      <c r="G280" t="s">
        <v>30</v>
      </c>
      <c r="H280" t="s">
        <v>31</v>
      </c>
      <c r="I280" t="s">
        <v>7</v>
      </c>
      <c r="J280">
        <v>3</v>
      </c>
      <c r="K280" t="s">
        <v>33</v>
      </c>
      <c r="L280" t="s">
        <v>27</v>
      </c>
      <c r="M280" t="s">
        <v>49</v>
      </c>
      <c r="N280" t="s">
        <v>17</v>
      </c>
    </row>
    <row r="281" spans="1:14">
      <c r="A281">
        <v>16390</v>
      </c>
      <c r="B281" t="s">
        <v>42</v>
      </c>
      <c r="C281" t="s">
        <v>44</v>
      </c>
      <c r="D281" s="3">
        <v>30000</v>
      </c>
      <c r="E281" s="3" t="s">
        <v>45</v>
      </c>
      <c r="F281">
        <v>1</v>
      </c>
      <c r="G281" t="s">
        <v>15</v>
      </c>
      <c r="H281" t="s">
        <v>22</v>
      </c>
      <c r="I281" t="s">
        <v>48</v>
      </c>
      <c r="J281">
        <v>0</v>
      </c>
      <c r="K281" t="s">
        <v>18</v>
      </c>
      <c r="L281" t="s">
        <v>19</v>
      </c>
      <c r="M281" t="s">
        <v>49</v>
      </c>
      <c r="N281" t="s">
        <v>17</v>
      </c>
    </row>
    <row r="282" spans="1:14">
      <c r="A282">
        <v>14804</v>
      </c>
      <c r="B282" t="s">
        <v>42</v>
      </c>
      <c r="C282" t="s">
        <v>43</v>
      </c>
      <c r="D282" s="3">
        <v>10000</v>
      </c>
      <c r="E282" s="3" t="s">
        <v>45</v>
      </c>
      <c r="F282">
        <v>3</v>
      </c>
      <c r="G282" t="s">
        <v>32</v>
      </c>
      <c r="H282" t="s">
        <v>28</v>
      </c>
      <c r="I282" t="s">
        <v>7</v>
      </c>
      <c r="J282">
        <v>2</v>
      </c>
      <c r="K282" t="s">
        <v>18</v>
      </c>
      <c r="L282" t="s">
        <v>19</v>
      </c>
      <c r="M282" t="s">
        <v>49</v>
      </c>
      <c r="N282" t="s">
        <v>20</v>
      </c>
    </row>
    <row r="283" spans="1:14">
      <c r="A283">
        <v>12629</v>
      </c>
      <c r="B283" t="s">
        <v>42</v>
      </c>
      <c r="C283" t="s">
        <v>44</v>
      </c>
      <c r="D283" s="3">
        <v>20000</v>
      </c>
      <c r="E283" s="3" t="s">
        <v>45</v>
      </c>
      <c r="F283">
        <v>1</v>
      </c>
      <c r="G283" t="s">
        <v>21</v>
      </c>
      <c r="H283" t="s">
        <v>28</v>
      </c>
      <c r="I283" t="s">
        <v>48</v>
      </c>
      <c r="J283">
        <v>0</v>
      </c>
      <c r="K283" t="s">
        <v>18</v>
      </c>
      <c r="L283" t="s">
        <v>19</v>
      </c>
      <c r="M283" t="s">
        <v>49</v>
      </c>
      <c r="N283" t="s">
        <v>20</v>
      </c>
    </row>
    <row r="284" spans="1:14">
      <c r="A284">
        <v>14696</v>
      </c>
      <c r="B284" t="s">
        <v>42</v>
      </c>
      <c r="C284" t="s">
        <v>44</v>
      </c>
      <c r="D284" s="3">
        <v>10000</v>
      </c>
      <c r="E284" s="3" t="s">
        <v>45</v>
      </c>
      <c r="F284">
        <v>0</v>
      </c>
      <c r="G284" t="s">
        <v>32</v>
      </c>
      <c r="H284" t="s">
        <v>28</v>
      </c>
      <c r="I284" t="s">
        <v>48</v>
      </c>
      <c r="J284">
        <v>2</v>
      </c>
      <c r="K284" t="s">
        <v>18</v>
      </c>
      <c r="L284" t="s">
        <v>19</v>
      </c>
      <c r="M284" t="s">
        <v>52</v>
      </c>
      <c r="N284" t="s">
        <v>20</v>
      </c>
    </row>
    <row r="285" spans="1:14">
      <c r="A285">
        <v>22005</v>
      </c>
      <c r="B285" t="s">
        <v>41</v>
      </c>
      <c r="C285" t="s">
        <v>43</v>
      </c>
      <c r="D285" s="3">
        <v>70000</v>
      </c>
      <c r="E285" s="3" t="s">
        <v>46</v>
      </c>
      <c r="F285">
        <v>5</v>
      </c>
      <c r="G285" t="s">
        <v>21</v>
      </c>
      <c r="H285" t="s">
        <v>16</v>
      </c>
      <c r="I285" t="s">
        <v>48</v>
      </c>
      <c r="J285">
        <v>3</v>
      </c>
      <c r="K285" t="s">
        <v>26</v>
      </c>
      <c r="L285" t="s">
        <v>27</v>
      </c>
      <c r="M285" t="s">
        <v>51</v>
      </c>
      <c r="N285" t="s">
        <v>20</v>
      </c>
    </row>
    <row r="286" spans="1:14">
      <c r="A286">
        <v>14544</v>
      </c>
      <c r="B286" t="s">
        <v>42</v>
      </c>
      <c r="C286" t="s">
        <v>44</v>
      </c>
      <c r="D286" s="3">
        <v>10000</v>
      </c>
      <c r="E286" s="3" t="s">
        <v>45</v>
      </c>
      <c r="F286">
        <v>1</v>
      </c>
      <c r="G286" t="s">
        <v>21</v>
      </c>
      <c r="H286" t="s">
        <v>28</v>
      </c>
      <c r="I286" t="s">
        <v>7</v>
      </c>
      <c r="J286">
        <v>0</v>
      </c>
      <c r="K286" t="s">
        <v>18</v>
      </c>
      <c r="L286" t="s">
        <v>19</v>
      </c>
      <c r="M286" t="s">
        <v>51</v>
      </c>
      <c r="N286" t="s">
        <v>20</v>
      </c>
    </row>
    <row r="287" spans="1:14">
      <c r="A287">
        <v>14312</v>
      </c>
      <c r="B287" t="s">
        <v>41</v>
      </c>
      <c r="C287" t="s">
        <v>43</v>
      </c>
      <c r="D287" s="3">
        <v>60000</v>
      </c>
      <c r="E287" s="3" t="s">
        <v>46</v>
      </c>
      <c r="F287">
        <v>1</v>
      </c>
      <c r="G287" t="s">
        <v>21</v>
      </c>
      <c r="H287" t="s">
        <v>16</v>
      </c>
      <c r="I287" t="s">
        <v>7</v>
      </c>
      <c r="J287">
        <v>1</v>
      </c>
      <c r="K287" t="s">
        <v>26</v>
      </c>
      <c r="L287" t="s">
        <v>27</v>
      </c>
      <c r="M287" t="s">
        <v>51</v>
      </c>
      <c r="N287" t="s">
        <v>20</v>
      </c>
    </row>
    <row r="288" spans="1:14">
      <c r="A288">
        <v>29120</v>
      </c>
      <c r="B288" t="s">
        <v>42</v>
      </c>
      <c r="C288" t="s">
        <v>43</v>
      </c>
      <c r="D288" s="3">
        <v>100000</v>
      </c>
      <c r="E288" s="3" t="s">
        <v>46</v>
      </c>
      <c r="F288">
        <v>1</v>
      </c>
      <c r="G288" t="s">
        <v>15</v>
      </c>
      <c r="H288" t="s">
        <v>31</v>
      </c>
      <c r="I288" t="s">
        <v>7</v>
      </c>
      <c r="J288">
        <v>4</v>
      </c>
      <c r="K288" t="s">
        <v>24</v>
      </c>
      <c r="L288" t="s">
        <v>27</v>
      </c>
      <c r="M288" t="s">
        <v>51</v>
      </c>
      <c r="N288" t="s">
        <v>20</v>
      </c>
    </row>
    <row r="289" spans="1:14">
      <c r="A289">
        <v>24187</v>
      </c>
      <c r="B289" t="s">
        <v>42</v>
      </c>
      <c r="C289" t="s">
        <v>43</v>
      </c>
      <c r="D289" s="3">
        <v>30000</v>
      </c>
      <c r="E289" s="3" t="s">
        <v>45</v>
      </c>
      <c r="F289">
        <v>3</v>
      </c>
      <c r="G289" t="s">
        <v>34</v>
      </c>
      <c r="H289" t="s">
        <v>22</v>
      </c>
      <c r="I289" t="s">
        <v>48</v>
      </c>
      <c r="J289">
        <v>0</v>
      </c>
      <c r="K289" t="s">
        <v>18</v>
      </c>
      <c r="L289" t="s">
        <v>19</v>
      </c>
      <c r="M289" t="s">
        <v>51</v>
      </c>
      <c r="N289" t="s">
        <v>17</v>
      </c>
    </row>
    <row r="290" spans="1:14">
      <c r="A290">
        <v>15758</v>
      </c>
      <c r="B290" t="s">
        <v>41</v>
      </c>
      <c r="C290" t="s">
        <v>44</v>
      </c>
      <c r="D290" s="3">
        <v>130000</v>
      </c>
      <c r="E290" s="3" t="s">
        <v>47</v>
      </c>
      <c r="F290">
        <v>0</v>
      </c>
      <c r="G290" t="s">
        <v>34</v>
      </c>
      <c r="H290" t="s">
        <v>31</v>
      </c>
      <c r="I290" t="s">
        <v>7</v>
      </c>
      <c r="J290">
        <v>0</v>
      </c>
      <c r="K290" t="s">
        <v>26</v>
      </c>
      <c r="L290" t="s">
        <v>27</v>
      </c>
      <c r="M290" t="s">
        <v>51</v>
      </c>
      <c r="N290" t="s">
        <v>20</v>
      </c>
    </row>
    <row r="291" spans="1:14">
      <c r="A291">
        <v>29094</v>
      </c>
      <c r="B291" t="s">
        <v>41</v>
      </c>
      <c r="C291" t="s">
        <v>44</v>
      </c>
      <c r="D291" s="3">
        <v>30000</v>
      </c>
      <c r="E291" s="3" t="s">
        <v>45</v>
      </c>
      <c r="F291">
        <v>3</v>
      </c>
      <c r="G291" t="s">
        <v>30</v>
      </c>
      <c r="H291" t="s">
        <v>16</v>
      </c>
      <c r="I291" t="s">
        <v>7</v>
      </c>
      <c r="J291">
        <v>2</v>
      </c>
      <c r="K291" t="s">
        <v>26</v>
      </c>
      <c r="L291" t="s">
        <v>27</v>
      </c>
      <c r="M291" t="s">
        <v>51</v>
      </c>
      <c r="N291" t="s">
        <v>17</v>
      </c>
    </row>
    <row r="292" spans="1:14">
      <c r="A292">
        <v>28319</v>
      </c>
      <c r="B292" t="s">
        <v>42</v>
      </c>
      <c r="C292" t="s">
        <v>43</v>
      </c>
      <c r="D292" s="3">
        <v>60000</v>
      </c>
      <c r="E292" s="3" t="s">
        <v>46</v>
      </c>
      <c r="F292">
        <v>1</v>
      </c>
      <c r="G292" t="s">
        <v>21</v>
      </c>
      <c r="H292" t="s">
        <v>16</v>
      </c>
      <c r="I292" t="s">
        <v>48</v>
      </c>
      <c r="J292">
        <v>1</v>
      </c>
      <c r="K292" t="s">
        <v>18</v>
      </c>
      <c r="L292" t="s">
        <v>27</v>
      </c>
      <c r="M292" t="s">
        <v>51</v>
      </c>
      <c r="N292" t="s">
        <v>17</v>
      </c>
    </row>
    <row r="293" spans="1:14">
      <c r="A293">
        <v>16406</v>
      </c>
      <c r="B293" t="s">
        <v>41</v>
      </c>
      <c r="C293" t="s">
        <v>44</v>
      </c>
      <c r="D293" s="3">
        <v>40000</v>
      </c>
      <c r="E293" s="3" t="s">
        <v>45</v>
      </c>
      <c r="F293">
        <v>0</v>
      </c>
      <c r="G293" t="s">
        <v>15</v>
      </c>
      <c r="H293" t="s">
        <v>22</v>
      </c>
      <c r="I293" t="s">
        <v>48</v>
      </c>
      <c r="J293">
        <v>0</v>
      </c>
      <c r="K293" t="s">
        <v>18</v>
      </c>
      <c r="L293" t="s">
        <v>19</v>
      </c>
      <c r="M293" t="s">
        <v>49</v>
      </c>
      <c r="N293" t="s">
        <v>17</v>
      </c>
    </row>
    <row r="294" spans="1:14">
      <c r="A294">
        <v>20923</v>
      </c>
      <c r="B294" t="s">
        <v>41</v>
      </c>
      <c r="C294" t="s">
        <v>43</v>
      </c>
      <c r="D294" s="3">
        <v>40000</v>
      </c>
      <c r="E294" s="3" t="s">
        <v>45</v>
      </c>
      <c r="F294">
        <v>1</v>
      </c>
      <c r="G294" t="s">
        <v>15</v>
      </c>
      <c r="H294" t="s">
        <v>16</v>
      </c>
      <c r="I294" t="s">
        <v>7</v>
      </c>
      <c r="J294">
        <v>0</v>
      </c>
      <c r="K294" t="s">
        <v>18</v>
      </c>
      <c r="L294" t="s">
        <v>19</v>
      </c>
      <c r="M294" t="s">
        <v>49</v>
      </c>
      <c r="N294" t="s">
        <v>17</v>
      </c>
    </row>
    <row r="295" spans="1:14">
      <c r="A295">
        <v>11378</v>
      </c>
      <c r="B295" t="s">
        <v>42</v>
      </c>
      <c r="C295" t="s">
        <v>43</v>
      </c>
      <c r="D295" s="3">
        <v>10000</v>
      </c>
      <c r="E295" s="3" t="s">
        <v>45</v>
      </c>
      <c r="F295">
        <v>1</v>
      </c>
      <c r="G295" t="s">
        <v>30</v>
      </c>
      <c r="H295" t="s">
        <v>28</v>
      </c>
      <c r="I295" t="s">
        <v>48</v>
      </c>
      <c r="J295">
        <v>1</v>
      </c>
      <c r="K295" t="s">
        <v>24</v>
      </c>
      <c r="L295" t="s">
        <v>19</v>
      </c>
      <c r="M295" t="s">
        <v>51</v>
      </c>
      <c r="N295" t="s">
        <v>17</v>
      </c>
    </row>
    <row r="296" spans="1:14">
      <c r="A296">
        <v>20851</v>
      </c>
      <c r="B296" t="s">
        <v>42</v>
      </c>
      <c r="C296" t="s">
        <v>44</v>
      </c>
      <c r="D296" s="3">
        <v>20000</v>
      </c>
      <c r="E296" s="3" t="s">
        <v>45</v>
      </c>
      <c r="F296">
        <v>0</v>
      </c>
      <c r="G296" t="s">
        <v>21</v>
      </c>
      <c r="H296" t="s">
        <v>28</v>
      </c>
      <c r="I296" t="s">
        <v>48</v>
      </c>
      <c r="J296">
        <v>1</v>
      </c>
      <c r="K296" t="s">
        <v>24</v>
      </c>
      <c r="L296" t="s">
        <v>19</v>
      </c>
      <c r="M296" t="s">
        <v>49</v>
      </c>
      <c r="N296" t="s">
        <v>17</v>
      </c>
    </row>
    <row r="297" spans="1:14">
      <c r="A297">
        <v>21557</v>
      </c>
      <c r="B297" t="s">
        <v>42</v>
      </c>
      <c r="C297" t="s">
        <v>43</v>
      </c>
      <c r="D297" s="3">
        <v>110000</v>
      </c>
      <c r="E297" s="3" t="s">
        <v>46</v>
      </c>
      <c r="F297">
        <v>0</v>
      </c>
      <c r="G297" t="s">
        <v>21</v>
      </c>
      <c r="H297" t="s">
        <v>31</v>
      </c>
      <c r="I297" t="s">
        <v>7</v>
      </c>
      <c r="J297">
        <v>3</v>
      </c>
      <c r="K297" t="s">
        <v>33</v>
      </c>
      <c r="L297" t="s">
        <v>27</v>
      </c>
      <c r="M297" t="s">
        <v>52</v>
      </c>
      <c r="N297" t="s">
        <v>17</v>
      </c>
    </row>
    <row r="298" spans="1:14">
      <c r="A298">
        <v>26663</v>
      </c>
      <c r="B298" t="s">
        <v>42</v>
      </c>
      <c r="C298" t="s">
        <v>43</v>
      </c>
      <c r="D298" s="3">
        <v>60000</v>
      </c>
      <c r="E298" s="3" t="s">
        <v>46</v>
      </c>
      <c r="F298">
        <v>2</v>
      </c>
      <c r="G298" t="s">
        <v>15</v>
      </c>
      <c r="H298" t="s">
        <v>23</v>
      </c>
      <c r="I298" t="s">
        <v>48</v>
      </c>
      <c r="J298">
        <v>1</v>
      </c>
      <c r="K298" t="s">
        <v>18</v>
      </c>
      <c r="L298" t="s">
        <v>27</v>
      </c>
      <c r="M298" t="s">
        <v>49</v>
      </c>
      <c r="N298" t="s">
        <v>17</v>
      </c>
    </row>
    <row r="299" spans="1:14">
      <c r="A299">
        <v>11896</v>
      </c>
      <c r="B299" t="s">
        <v>41</v>
      </c>
      <c r="C299" t="s">
        <v>44</v>
      </c>
      <c r="D299" s="3">
        <v>100000</v>
      </c>
      <c r="E299" s="3" t="s">
        <v>46</v>
      </c>
      <c r="F299">
        <v>1</v>
      </c>
      <c r="G299" t="s">
        <v>34</v>
      </c>
      <c r="H299" t="s">
        <v>31</v>
      </c>
      <c r="I299" t="s">
        <v>7</v>
      </c>
      <c r="J299">
        <v>0</v>
      </c>
      <c r="K299" t="s">
        <v>24</v>
      </c>
      <c r="L299" t="s">
        <v>27</v>
      </c>
      <c r="M299" t="s">
        <v>49</v>
      </c>
      <c r="N299" t="s">
        <v>17</v>
      </c>
    </row>
    <row r="300" spans="1:14">
      <c r="A300">
        <v>14189</v>
      </c>
      <c r="B300" t="s">
        <v>41</v>
      </c>
      <c r="C300" t="s">
        <v>43</v>
      </c>
      <c r="D300" s="3">
        <v>90000</v>
      </c>
      <c r="E300" s="3" t="s">
        <v>46</v>
      </c>
      <c r="F300">
        <v>4</v>
      </c>
      <c r="G300" t="s">
        <v>30</v>
      </c>
      <c r="H300" t="s">
        <v>23</v>
      </c>
      <c r="I300" t="s">
        <v>48</v>
      </c>
      <c r="J300">
        <v>2</v>
      </c>
      <c r="K300" t="s">
        <v>24</v>
      </c>
      <c r="L300" t="s">
        <v>19</v>
      </c>
      <c r="M300" t="s">
        <v>51</v>
      </c>
      <c r="N300" t="s">
        <v>17</v>
      </c>
    </row>
    <row r="301" spans="1:14">
      <c r="A301">
        <v>13136</v>
      </c>
      <c r="B301" t="s">
        <v>41</v>
      </c>
      <c r="C301" t="s">
        <v>43</v>
      </c>
      <c r="D301" s="3">
        <v>30000</v>
      </c>
      <c r="E301" s="3" t="s">
        <v>45</v>
      </c>
      <c r="F301">
        <v>2</v>
      </c>
      <c r="G301" t="s">
        <v>21</v>
      </c>
      <c r="H301" t="s">
        <v>22</v>
      </c>
      <c r="I301" t="s">
        <v>48</v>
      </c>
      <c r="J301">
        <v>2</v>
      </c>
      <c r="K301" t="s">
        <v>26</v>
      </c>
      <c r="L301" t="s">
        <v>27</v>
      </c>
      <c r="M301" t="s">
        <v>53</v>
      </c>
      <c r="N301" t="s">
        <v>20</v>
      </c>
    </row>
    <row r="302" spans="1:14">
      <c r="A302">
        <v>25906</v>
      </c>
      <c r="B302" t="s">
        <v>42</v>
      </c>
      <c r="C302" t="s">
        <v>43</v>
      </c>
      <c r="D302" s="3">
        <v>10000</v>
      </c>
      <c r="E302" s="3" t="s">
        <v>45</v>
      </c>
      <c r="F302">
        <v>5</v>
      </c>
      <c r="G302" t="s">
        <v>30</v>
      </c>
      <c r="H302" t="s">
        <v>16</v>
      </c>
      <c r="I302" t="s">
        <v>48</v>
      </c>
      <c r="J302">
        <v>2</v>
      </c>
      <c r="K302" t="s">
        <v>29</v>
      </c>
      <c r="L302" t="s">
        <v>27</v>
      </c>
      <c r="M302" t="s">
        <v>50</v>
      </c>
      <c r="N302" t="s">
        <v>20</v>
      </c>
    </row>
    <row r="303" spans="1:14">
      <c r="A303">
        <v>17926</v>
      </c>
      <c r="B303" t="s">
        <v>42</v>
      </c>
      <c r="C303" t="s">
        <v>43</v>
      </c>
      <c r="D303" s="3">
        <v>40000</v>
      </c>
      <c r="E303" s="3" t="s">
        <v>45</v>
      </c>
      <c r="F303">
        <v>0</v>
      </c>
      <c r="G303" t="s">
        <v>15</v>
      </c>
      <c r="H303" t="s">
        <v>22</v>
      </c>
      <c r="I303" t="s">
        <v>48</v>
      </c>
      <c r="J303">
        <v>0</v>
      </c>
      <c r="K303" t="s">
        <v>18</v>
      </c>
      <c r="L303" t="s">
        <v>27</v>
      </c>
      <c r="M303" t="s">
        <v>52</v>
      </c>
      <c r="N303" t="s">
        <v>17</v>
      </c>
    </row>
    <row r="304" spans="1:14">
      <c r="A304">
        <v>26928</v>
      </c>
      <c r="B304" t="s">
        <v>42</v>
      </c>
      <c r="C304" t="s">
        <v>44</v>
      </c>
      <c r="D304" s="3">
        <v>30000</v>
      </c>
      <c r="E304" s="3" t="s">
        <v>45</v>
      </c>
      <c r="F304">
        <v>1</v>
      </c>
      <c r="G304" t="s">
        <v>15</v>
      </c>
      <c r="H304" t="s">
        <v>22</v>
      </c>
      <c r="I304" t="s">
        <v>7</v>
      </c>
      <c r="J304">
        <v>0</v>
      </c>
      <c r="K304" t="s">
        <v>18</v>
      </c>
      <c r="L304" t="s">
        <v>19</v>
      </c>
      <c r="M304" t="s">
        <v>50</v>
      </c>
      <c r="N304" t="s">
        <v>17</v>
      </c>
    </row>
    <row r="305" spans="1:14">
      <c r="A305">
        <v>20897</v>
      </c>
      <c r="B305" t="s">
        <v>41</v>
      </c>
      <c r="C305" t="s">
        <v>43</v>
      </c>
      <c r="D305" s="3">
        <v>30000</v>
      </c>
      <c r="E305" s="3" t="s">
        <v>45</v>
      </c>
      <c r="F305">
        <v>1</v>
      </c>
      <c r="G305" t="s">
        <v>15</v>
      </c>
      <c r="H305" t="s">
        <v>16</v>
      </c>
      <c r="I305" t="s">
        <v>7</v>
      </c>
      <c r="J305">
        <v>2</v>
      </c>
      <c r="K305" t="s">
        <v>18</v>
      </c>
      <c r="L305" t="s">
        <v>19</v>
      </c>
      <c r="M305" t="s">
        <v>49</v>
      </c>
      <c r="N305" t="s">
        <v>20</v>
      </c>
    </row>
    <row r="306" spans="1:14">
      <c r="A306">
        <v>28207</v>
      </c>
      <c r="B306" t="s">
        <v>41</v>
      </c>
      <c r="C306" t="s">
        <v>44</v>
      </c>
      <c r="D306" s="3">
        <v>80000</v>
      </c>
      <c r="E306" s="3" t="s">
        <v>46</v>
      </c>
      <c r="F306">
        <v>4</v>
      </c>
      <c r="G306" t="s">
        <v>34</v>
      </c>
      <c r="H306" t="s">
        <v>31</v>
      </c>
      <c r="I306" t="s">
        <v>7</v>
      </c>
      <c r="J306">
        <v>1</v>
      </c>
      <c r="K306" t="s">
        <v>18</v>
      </c>
      <c r="L306" t="s">
        <v>27</v>
      </c>
      <c r="M306" t="s">
        <v>49</v>
      </c>
      <c r="N306" t="s">
        <v>17</v>
      </c>
    </row>
    <row r="307" spans="1:14">
      <c r="A307">
        <v>25923</v>
      </c>
      <c r="B307" t="s">
        <v>42</v>
      </c>
      <c r="C307" t="s">
        <v>44</v>
      </c>
      <c r="D307" s="3">
        <v>10000</v>
      </c>
      <c r="E307" s="3" t="s">
        <v>45</v>
      </c>
      <c r="F307">
        <v>2</v>
      </c>
      <c r="G307" t="s">
        <v>32</v>
      </c>
      <c r="H307" t="s">
        <v>22</v>
      </c>
      <c r="I307" t="s">
        <v>7</v>
      </c>
      <c r="J307">
        <v>2</v>
      </c>
      <c r="K307" t="s">
        <v>26</v>
      </c>
      <c r="L307" t="s">
        <v>27</v>
      </c>
      <c r="M307" t="s">
        <v>50</v>
      </c>
      <c r="N307" t="s">
        <v>20</v>
      </c>
    </row>
    <row r="308" spans="1:14">
      <c r="A308">
        <v>11000</v>
      </c>
      <c r="B308" t="s">
        <v>41</v>
      </c>
      <c r="C308" t="s">
        <v>44</v>
      </c>
      <c r="D308" s="3">
        <v>90000</v>
      </c>
      <c r="E308" s="3" t="s">
        <v>46</v>
      </c>
      <c r="F308">
        <v>2</v>
      </c>
      <c r="G308" t="s">
        <v>15</v>
      </c>
      <c r="H308" t="s">
        <v>23</v>
      </c>
      <c r="I308" t="s">
        <v>7</v>
      </c>
      <c r="J308">
        <v>0</v>
      </c>
      <c r="K308" t="s">
        <v>29</v>
      </c>
      <c r="L308" t="s">
        <v>27</v>
      </c>
      <c r="M308" t="s">
        <v>49</v>
      </c>
      <c r="N308" t="s">
        <v>17</v>
      </c>
    </row>
    <row r="309" spans="1:14">
      <c r="A309">
        <v>20974</v>
      </c>
      <c r="B309" t="s">
        <v>41</v>
      </c>
      <c r="C309" t="s">
        <v>44</v>
      </c>
      <c r="D309" s="3">
        <v>10000</v>
      </c>
      <c r="E309" s="3" t="s">
        <v>45</v>
      </c>
      <c r="F309">
        <v>2</v>
      </c>
      <c r="G309" t="s">
        <v>15</v>
      </c>
      <c r="H309" t="s">
        <v>22</v>
      </c>
      <c r="I309" t="s">
        <v>7</v>
      </c>
      <c r="J309">
        <v>1</v>
      </c>
      <c r="K309" t="s">
        <v>18</v>
      </c>
      <c r="L309" t="s">
        <v>19</v>
      </c>
      <c r="M309" t="s">
        <v>53</v>
      </c>
      <c r="N309" t="s">
        <v>20</v>
      </c>
    </row>
    <row r="310" spans="1:14">
      <c r="A310">
        <v>28758</v>
      </c>
      <c r="B310" t="s">
        <v>41</v>
      </c>
      <c r="C310" t="s">
        <v>44</v>
      </c>
      <c r="D310" s="3">
        <v>40000</v>
      </c>
      <c r="E310" s="3" t="s">
        <v>45</v>
      </c>
      <c r="F310">
        <v>2</v>
      </c>
      <c r="G310" t="s">
        <v>21</v>
      </c>
      <c r="H310" t="s">
        <v>22</v>
      </c>
      <c r="I310" t="s">
        <v>7</v>
      </c>
      <c r="J310">
        <v>1</v>
      </c>
      <c r="K310" t="s">
        <v>29</v>
      </c>
      <c r="L310" t="s">
        <v>19</v>
      </c>
      <c r="M310" t="s">
        <v>49</v>
      </c>
      <c r="N310" t="s">
        <v>17</v>
      </c>
    </row>
    <row r="311" spans="1:14">
      <c r="A311">
        <v>11381</v>
      </c>
      <c r="B311" t="s">
        <v>41</v>
      </c>
      <c r="C311" t="s">
        <v>43</v>
      </c>
      <c r="D311" s="3">
        <v>20000</v>
      </c>
      <c r="E311" s="3" t="s">
        <v>45</v>
      </c>
      <c r="F311">
        <v>2</v>
      </c>
      <c r="G311" t="s">
        <v>21</v>
      </c>
      <c r="H311" t="s">
        <v>28</v>
      </c>
      <c r="I311" t="s">
        <v>7</v>
      </c>
      <c r="J311">
        <v>1</v>
      </c>
      <c r="K311" t="s">
        <v>24</v>
      </c>
      <c r="L311" t="s">
        <v>19</v>
      </c>
      <c r="M311" t="s">
        <v>51</v>
      </c>
      <c r="N311" t="s">
        <v>17</v>
      </c>
    </row>
    <row r="312" spans="1:14">
      <c r="A312">
        <v>17522</v>
      </c>
      <c r="B312" t="s">
        <v>41</v>
      </c>
      <c r="C312" t="s">
        <v>44</v>
      </c>
      <c r="D312" s="3">
        <v>120000</v>
      </c>
      <c r="E312" s="3" t="s">
        <v>47</v>
      </c>
      <c r="F312">
        <v>4</v>
      </c>
      <c r="G312" t="s">
        <v>15</v>
      </c>
      <c r="H312" t="s">
        <v>31</v>
      </c>
      <c r="I312" t="s">
        <v>7</v>
      </c>
      <c r="J312">
        <v>1</v>
      </c>
      <c r="K312" t="s">
        <v>24</v>
      </c>
      <c r="L312" t="s">
        <v>27</v>
      </c>
      <c r="M312" t="s">
        <v>51</v>
      </c>
      <c r="N312" t="s">
        <v>20</v>
      </c>
    </row>
    <row r="313" spans="1:14">
      <c r="A313">
        <v>21207</v>
      </c>
      <c r="B313" t="s">
        <v>41</v>
      </c>
      <c r="C313" t="s">
        <v>44</v>
      </c>
      <c r="D313" s="3">
        <v>60000</v>
      </c>
      <c r="E313" s="3" t="s">
        <v>46</v>
      </c>
      <c r="F313">
        <v>1</v>
      </c>
      <c r="G313" t="s">
        <v>21</v>
      </c>
      <c r="H313" t="s">
        <v>16</v>
      </c>
      <c r="I313" t="s">
        <v>7</v>
      </c>
      <c r="J313">
        <v>1</v>
      </c>
      <c r="K313" t="s">
        <v>26</v>
      </c>
      <c r="L313" t="s">
        <v>27</v>
      </c>
      <c r="M313" t="s">
        <v>51</v>
      </c>
      <c r="N313" t="s">
        <v>20</v>
      </c>
    </row>
    <row r="314" spans="1:14">
      <c r="A314">
        <v>28102</v>
      </c>
      <c r="B314" t="s">
        <v>41</v>
      </c>
      <c r="C314" t="s">
        <v>44</v>
      </c>
      <c r="D314" s="3">
        <v>20000</v>
      </c>
      <c r="E314" s="3" t="s">
        <v>45</v>
      </c>
      <c r="F314">
        <v>4</v>
      </c>
      <c r="G314" t="s">
        <v>30</v>
      </c>
      <c r="H314" t="s">
        <v>16</v>
      </c>
      <c r="I314" t="s">
        <v>7</v>
      </c>
      <c r="J314">
        <v>2</v>
      </c>
      <c r="K314" t="s">
        <v>26</v>
      </c>
      <c r="L314" t="s">
        <v>27</v>
      </c>
      <c r="M314" t="s">
        <v>50</v>
      </c>
      <c r="N314" t="s">
        <v>17</v>
      </c>
    </row>
    <row r="315" spans="1:14">
      <c r="A315">
        <v>23105</v>
      </c>
      <c r="B315" t="s">
        <v>42</v>
      </c>
      <c r="C315" t="s">
        <v>44</v>
      </c>
      <c r="D315" s="3">
        <v>40000</v>
      </c>
      <c r="E315" s="3" t="s">
        <v>45</v>
      </c>
      <c r="F315">
        <v>3</v>
      </c>
      <c r="G315" t="s">
        <v>32</v>
      </c>
      <c r="H315" t="s">
        <v>22</v>
      </c>
      <c r="I315" t="s">
        <v>48</v>
      </c>
      <c r="J315">
        <v>2</v>
      </c>
      <c r="K315" t="s">
        <v>26</v>
      </c>
      <c r="L315" t="s">
        <v>27</v>
      </c>
      <c r="M315" t="s">
        <v>51</v>
      </c>
      <c r="N315" t="s">
        <v>17</v>
      </c>
    </row>
    <row r="316" spans="1:14">
      <c r="A316">
        <v>18740</v>
      </c>
      <c r="B316" t="s">
        <v>41</v>
      </c>
      <c r="C316" t="s">
        <v>44</v>
      </c>
      <c r="D316" s="3">
        <v>80000</v>
      </c>
      <c r="E316" s="3" t="s">
        <v>46</v>
      </c>
      <c r="F316">
        <v>5</v>
      </c>
      <c r="G316" t="s">
        <v>15</v>
      </c>
      <c r="H316" t="s">
        <v>23</v>
      </c>
      <c r="I316" t="s">
        <v>48</v>
      </c>
      <c r="J316">
        <v>1</v>
      </c>
      <c r="K316" t="s">
        <v>18</v>
      </c>
      <c r="L316" t="s">
        <v>27</v>
      </c>
      <c r="M316" t="s">
        <v>51</v>
      </c>
      <c r="N316" t="s">
        <v>17</v>
      </c>
    </row>
    <row r="317" spans="1:14">
      <c r="A317">
        <v>21213</v>
      </c>
      <c r="B317" t="s">
        <v>42</v>
      </c>
      <c r="C317" t="s">
        <v>44</v>
      </c>
      <c r="D317" s="3">
        <v>70000</v>
      </c>
      <c r="E317" s="3" t="s">
        <v>46</v>
      </c>
      <c r="F317">
        <v>0</v>
      </c>
      <c r="G317" t="s">
        <v>15</v>
      </c>
      <c r="H317" t="s">
        <v>23</v>
      </c>
      <c r="I317" t="s">
        <v>48</v>
      </c>
      <c r="J317">
        <v>1</v>
      </c>
      <c r="K317" t="s">
        <v>26</v>
      </c>
      <c r="L317" t="s">
        <v>27</v>
      </c>
      <c r="M317" t="s">
        <v>49</v>
      </c>
      <c r="N317" t="s">
        <v>20</v>
      </c>
    </row>
    <row r="318" spans="1:14">
      <c r="A318">
        <v>17352</v>
      </c>
      <c r="B318" t="s">
        <v>41</v>
      </c>
      <c r="C318" t="s">
        <v>44</v>
      </c>
      <c r="D318" s="3">
        <v>50000</v>
      </c>
      <c r="E318" s="3" t="s">
        <v>45</v>
      </c>
      <c r="F318">
        <v>2</v>
      </c>
      <c r="G318" t="s">
        <v>34</v>
      </c>
      <c r="H318" t="s">
        <v>31</v>
      </c>
      <c r="I318" t="s">
        <v>7</v>
      </c>
      <c r="J318">
        <v>1</v>
      </c>
      <c r="K318" t="s">
        <v>26</v>
      </c>
      <c r="L318" t="s">
        <v>27</v>
      </c>
      <c r="M318" t="s">
        <v>50</v>
      </c>
      <c r="N318" t="s">
        <v>17</v>
      </c>
    </row>
    <row r="319" spans="1:14">
      <c r="A319">
        <v>14154</v>
      </c>
      <c r="B319" t="s">
        <v>41</v>
      </c>
      <c r="C319" t="s">
        <v>44</v>
      </c>
      <c r="D319" s="3">
        <v>30000</v>
      </c>
      <c r="E319" s="3" t="s">
        <v>45</v>
      </c>
      <c r="F319">
        <v>0</v>
      </c>
      <c r="G319" t="s">
        <v>15</v>
      </c>
      <c r="H319" t="s">
        <v>22</v>
      </c>
      <c r="I319" t="s">
        <v>7</v>
      </c>
      <c r="J319">
        <v>0</v>
      </c>
      <c r="K319" t="s">
        <v>18</v>
      </c>
      <c r="L319" t="s">
        <v>19</v>
      </c>
      <c r="M319" t="s">
        <v>49</v>
      </c>
      <c r="N319" t="s">
        <v>17</v>
      </c>
    </row>
    <row r="320" spans="1:14">
      <c r="A320">
        <v>19066</v>
      </c>
      <c r="B320" t="s">
        <v>41</v>
      </c>
      <c r="C320" t="s">
        <v>44</v>
      </c>
      <c r="D320" s="3">
        <v>130000</v>
      </c>
      <c r="E320" s="3" t="s">
        <v>47</v>
      </c>
      <c r="F320">
        <v>4</v>
      </c>
      <c r="G320" t="s">
        <v>21</v>
      </c>
      <c r="H320" t="s">
        <v>23</v>
      </c>
      <c r="I320" t="s">
        <v>48</v>
      </c>
      <c r="J320">
        <v>3</v>
      </c>
      <c r="K320" t="s">
        <v>33</v>
      </c>
      <c r="L320" t="s">
        <v>19</v>
      </c>
      <c r="M320" t="s">
        <v>51</v>
      </c>
      <c r="N320" t="s">
        <v>20</v>
      </c>
    </row>
    <row r="321" spans="1:14">
      <c r="A321">
        <v>11386</v>
      </c>
      <c r="B321" t="s">
        <v>41</v>
      </c>
      <c r="C321" t="s">
        <v>43</v>
      </c>
      <c r="D321" s="3">
        <v>30000</v>
      </c>
      <c r="E321" s="3" t="s">
        <v>45</v>
      </c>
      <c r="F321">
        <v>3</v>
      </c>
      <c r="G321" t="s">
        <v>15</v>
      </c>
      <c r="H321" t="s">
        <v>22</v>
      </c>
      <c r="I321" t="s">
        <v>7</v>
      </c>
      <c r="J321">
        <v>0</v>
      </c>
      <c r="K321" t="s">
        <v>18</v>
      </c>
      <c r="L321" t="s">
        <v>19</v>
      </c>
      <c r="M321" t="s">
        <v>51</v>
      </c>
      <c r="N321" t="s">
        <v>20</v>
      </c>
    </row>
    <row r="322" spans="1:14">
      <c r="A322">
        <v>20228</v>
      </c>
      <c r="B322" t="s">
        <v>41</v>
      </c>
      <c r="C322" t="s">
        <v>44</v>
      </c>
      <c r="D322" s="3">
        <v>100000</v>
      </c>
      <c r="E322" s="3" t="s">
        <v>46</v>
      </c>
      <c r="F322">
        <v>0</v>
      </c>
      <c r="G322" t="s">
        <v>34</v>
      </c>
      <c r="H322" t="s">
        <v>31</v>
      </c>
      <c r="I322" t="s">
        <v>7</v>
      </c>
      <c r="J322">
        <v>0</v>
      </c>
      <c r="K322" t="s">
        <v>24</v>
      </c>
      <c r="L322" t="s">
        <v>27</v>
      </c>
      <c r="M322" t="s">
        <v>49</v>
      </c>
      <c r="N322" t="s">
        <v>17</v>
      </c>
    </row>
    <row r="323" spans="1:14">
      <c r="A323">
        <v>16675</v>
      </c>
      <c r="B323" t="s">
        <v>42</v>
      </c>
      <c r="C323" t="s">
        <v>43</v>
      </c>
      <c r="D323" s="3">
        <v>160000</v>
      </c>
      <c r="E323" s="3" t="s">
        <v>47</v>
      </c>
      <c r="F323">
        <v>0</v>
      </c>
      <c r="G323" t="s">
        <v>34</v>
      </c>
      <c r="H323" t="s">
        <v>31</v>
      </c>
      <c r="I323" t="s">
        <v>48</v>
      </c>
      <c r="J323">
        <v>3</v>
      </c>
      <c r="K323" t="s">
        <v>18</v>
      </c>
      <c r="L323" t="s">
        <v>27</v>
      </c>
      <c r="M323" t="s">
        <v>51</v>
      </c>
      <c r="N323" t="s">
        <v>17</v>
      </c>
    </row>
    <row r="324" spans="1:14">
      <c r="A324">
        <v>16410</v>
      </c>
      <c r="B324" t="s">
        <v>42</v>
      </c>
      <c r="C324" t="s">
        <v>43</v>
      </c>
      <c r="D324" s="3">
        <v>10000</v>
      </c>
      <c r="E324" s="3" t="s">
        <v>45</v>
      </c>
      <c r="F324">
        <v>4</v>
      </c>
      <c r="G324" t="s">
        <v>32</v>
      </c>
      <c r="H324" t="s">
        <v>28</v>
      </c>
      <c r="I324" t="s">
        <v>7</v>
      </c>
      <c r="J324">
        <v>2</v>
      </c>
      <c r="K324" t="s">
        <v>18</v>
      </c>
      <c r="L324" t="s">
        <v>19</v>
      </c>
      <c r="M324" t="s">
        <v>49</v>
      </c>
      <c r="N324" t="s">
        <v>17</v>
      </c>
    </row>
    <row r="325" spans="1:14">
      <c r="A325">
        <v>27760</v>
      </c>
      <c r="B325" t="s">
        <v>42</v>
      </c>
      <c r="C325" t="s">
        <v>43</v>
      </c>
      <c r="D325" s="3">
        <v>40000</v>
      </c>
      <c r="E325" s="3" t="s">
        <v>45</v>
      </c>
      <c r="F325">
        <v>0</v>
      </c>
      <c r="G325" t="s">
        <v>34</v>
      </c>
      <c r="H325" t="s">
        <v>22</v>
      </c>
      <c r="I325" t="s">
        <v>48</v>
      </c>
      <c r="J325">
        <v>0</v>
      </c>
      <c r="K325" t="s">
        <v>18</v>
      </c>
      <c r="L325" t="s">
        <v>19</v>
      </c>
      <c r="M325" t="s">
        <v>49</v>
      </c>
      <c r="N325" t="s">
        <v>17</v>
      </c>
    </row>
    <row r="326" spans="1:14">
      <c r="A326">
        <v>22930</v>
      </c>
      <c r="B326" t="s">
        <v>41</v>
      </c>
      <c r="C326" t="s">
        <v>44</v>
      </c>
      <c r="D326" s="3">
        <v>90000</v>
      </c>
      <c r="E326" s="3" t="s">
        <v>46</v>
      </c>
      <c r="F326">
        <v>4</v>
      </c>
      <c r="G326" t="s">
        <v>15</v>
      </c>
      <c r="H326" t="s">
        <v>23</v>
      </c>
      <c r="I326" t="s">
        <v>7</v>
      </c>
      <c r="J326">
        <v>0</v>
      </c>
      <c r="K326" t="s">
        <v>29</v>
      </c>
      <c r="L326" t="s">
        <v>27</v>
      </c>
      <c r="M326" t="s">
        <v>49</v>
      </c>
      <c r="N326" t="s">
        <v>17</v>
      </c>
    </row>
    <row r="327" spans="1:14">
      <c r="A327">
        <v>23780</v>
      </c>
      <c r="B327" t="s">
        <v>42</v>
      </c>
      <c r="C327" t="s">
        <v>44</v>
      </c>
      <c r="D327" s="3">
        <v>40000</v>
      </c>
      <c r="E327" s="3" t="s">
        <v>45</v>
      </c>
      <c r="F327">
        <v>2</v>
      </c>
      <c r="G327" t="s">
        <v>21</v>
      </c>
      <c r="H327" t="s">
        <v>22</v>
      </c>
      <c r="I327" t="s">
        <v>48</v>
      </c>
      <c r="J327">
        <v>2</v>
      </c>
      <c r="K327" t="s">
        <v>18</v>
      </c>
      <c r="L327" t="s">
        <v>19</v>
      </c>
      <c r="M327" t="s">
        <v>49</v>
      </c>
      <c r="N327" t="s">
        <v>17</v>
      </c>
    </row>
    <row r="328" spans="1:14">
      <c r="A328">
        <v>20994</v>
      </c>
      <c r="B328" t="s">
        <v>41</v>
      </c>
      <c r="C328" t="s">
        <v>43</v>
      </c>
      <c r="D328" s="3">
        <v>20000</v>
      </c>
      <c r="E328" s="3" t="s">
        <v>45</v>
      </c>
      <c r="F328">
        <v>0</v>
      </c>
      <c r="G328" t="s">
        <v>15</v>
      </c>
      <c r="H328" t="s">
        <v>22</v>
      </c>
      <c r="I328" t="s">
        <v>48</v>
      </c>
      <c r="J328">
        <v>0</v>
      </c>
      <c r="K328" t="s">
        <v>18</v>
      </c>
      <c r="L328" t="s">
        <v>27</v>
      </c>
      <c r="M328" t="s">
        <v>52</v>
      </c>
      <c r="N328" t="s">
        <v>17</v>
      </c>
    </row>
    <row r="329" spans="1:14">
      <c r="A329">
        <v>28379</v>
      </c>
      <c r="B329" t="s">
        <v>41</v>
      </c>
      <c r="C329" t="s">
        <v>44</v>
      </c>
      <c r="D329" s="3">
        <v>30000</v>
      </c>
      <c r="E329" s="3" t="s">
        <v>45</v>
      </c>
      <c r="F329">
        <v>1</v>
      </c>
      <c r="G329" t="s">
        <v>15</v>
      </c>
      <c r="H329" t="s">
        <v>16</v>
      </c>
      <c r="I329" t="s">
        <v>7</v>
      </c>
      <c r="J329">
        <v>2</v>
      </c>
      <c r="K329" t="s">
        <v>18</v>
      </c>
      <c r="L329" t="s">
        <v>19</v>
      </c>
      <c r="M329" t="s">
        <v>49</v>
      </c>
      <c r="N329" t="s">
        <v>20</v>
      </c>
    </row>
    <row r="330" spans="1:14">
      <c r="A330">
        <v>14865</v>
      </c>
      <c r="B330" t="s">
        <v>42</v>
      </c>
      <c r="C330" t="s">
        <v>44</v>
      </c>
      <c r="D330" s="3">
        <v>40000</v>
      </c>
      <c r="E330" s="3" t="s">
        <v>45</v>
      </c>
      <c r="F330">
        <v>2</v>
      </c>
      <c r="G330" t="s">
        <v>21</v>
      </c>
      <c r="H330" t="s">
        <v>22</v>
      </c>
      <c r="I330" t="s">
        <v>7</v>
      </c>
      <c r="J330">
        <v>2</v>
      </c>
      <c r="K330" t="s">
        <v>29</v>
      </c>
      <c r="L330" t="s">
        <v>19</v>
      </c>
      <c r="M330" t="s">
        <v>49</v>
      </c>
      <c r="N330" t="s">
        <v>20</v>
      </c>
    </row>
    <row r="331" spans="1:14">
      <c r="A331">
        <v>12663</v>
      </c>
      <c r="B331" t="s">
        <v>41</v>
      </c>
      <c r="C331" t="s">
        <v>43</v>
      </c>
      <c r="D331" s="3">
        <v>90000</v>
      </c>
      <c r="E331" s="3" t="s">
        <v>46</v>
      </c>
      <c r="F331">
        <v>5</v>
      </c>
      <c r="G331" t="s">
        <v>32</v>
      </c>
      <c r="H331" t="s">
        <v>16</v>
      </c>
      <c r="I331" t="s">
        <v>7</v>
      </c>
      <c r="J331">
        <v>2</v>
      </c>
      <c r="K331" t="s">
        <v>33</v>
      </c>
      <c r="L331" t="s">
        <v>19</v>
      </c>
      <c r="M331" t="s">
        <v>50</v>
      </c>
      <c r="N331" t="s">
        <v>20</v>
      </c>
    </row>
    <row r="332" spans="1:14">
      <c r="A332">
        <v>24898</v>
      </c>
      <c r="B332" t="s">
        <v>42</v>
      </c>
      <c r="C332" t="s">
        <v>43</v>
      </c>
      <c r="D332" s="3">
        <v>80000</v>
      </c>
      <c r="E332" s="3" t="s">
        <v>46</v>
      </c>
      <c r="F332">
        <v>0</v>
      </c>
      <c r="G332" t="s">
        <v>15</v>
      </c>
      <c r="H332" t="s">
        <v>23</v>
      </c>
      <c r="I332" t="s">
        <v>7</v>
      </c>
      <c r="J332">
        <v>3</v>
      </c>
      <c r="K332" t="s">
        <v>33</v>
      </c>
      <c r="L332" t="s">
        <v>27</v>
      </c>
      <c r="M332" t="s">
        <v>52</v>
      </c>
      <c r="N332" t="s">
        <v>20</v>
      </c>
    </row>
    <row r="333" spans="1:14">
      <c r="A333">
        <v>19508</v>
      </c>
      <c r="B333" t="s">
        <v>41</v>
      </c>
      <c r="C333" t="s">
        <v>44</v>
      </c>
      <c r="D333" s="3">
        <v>10000</v>
      </c>
      <c r="E333" s="3" t="s">
        <v>45</v>
      </c>
      <c r="F333">
        <v>0</v>
      </c>
      <c r="G333" t="s">
        <v>32</v>
      </c>
      <c r="H333" t="s">
        <v>28</v>
      </c>
      <c r="I333" t="s">
        <v>48</v>
      </c>
      <c r="J333">
        <v>2</v>
      </c>
      <c r="K333" t="s">
        <v>18</v>
      </c>
      <c r="L333" t="s">
        <v>19</v>
      </c>
      <c r="M333" t="s">
        <v>52</v>
      </c>
      <c r="N333" t="s">
        <v>20</v>
      </c>
    </row>
    <row r="334" spans="1:14">
      <c r="A334">
        <v>11489</v>
      </c>
      <c r="B334" t="s">
        <v>42</v>
      </c>
      <c r="C334" t="s">
        <v>43</v>
      </c>
      <c r="D334" s="3">
        <v>20000</v>
      </c>
      <c r="E334" s="3" t="s">
        <v>45</v>
      </c>
      <c r="F334">
        <v>0</v>
      </c>
      <c r="G334" t="s">
        <v>32</v>
      </c>
      <c r="H334" t="s">
        <v>28</v>
      </c>
      <c r="I334" t="s">
        <v>48</v>
      </c>
      <c r="J334">
        <v>2</v>
      </c>
      <c r="K334" t="s">
        <v>29</v>
      </c>
      <c r="L334" t="s">
        <v>19</v>
      </c>
      <c r="M334" t="s">
        <v>49</v>
      </c>
      <c r="N334" t="s">
        <v>17</v>
      </c>
    </row>
    <row r="335" spans="1:14">
      <c r="A335">
        <v>18160</v>
      </c>
      <c r="B335" t="s">
        <v>41</v>
      </c>
      <c r="C335" t="s">
        <v>44</v>
      </c>
      <c r="D335" s="3">
        <v>130000</v>
      </c>
      <c r="E335" s="3" t="s">
        <v>47</v>
      </c>
      <c r="F335">
        <v>3</v>
      </c>
      <c r="G335" t="s">
        <v>30</v>
      </c>
      <c r="H335" t="s">
        <v>23</v>
      </c>
      <c r="I335" t="s">
        <v>7</v>
      </c>
      <c r="J335">
        <v>4</v>
      </c>
      <c r="K335" t="s">
        <v>26</v>
      </c>
      <c r="L335" t="s">
        <v>19</v>
      </c>
      <c r="M335" t="s">
        <v>51</v>
      </c>
      <c r="N335" t="s">
        <v>17</v>
      </c>
    </row>
    <row r="336" spans="1:14">
      <c r="A336">
        <v>25241</v>
      </c>
      <c r="B336" t="s">
        <v>41</v>
      </c>
      <c r="C336" t="s">
        <v>44</v>
      </c>
      <c r="D336" s="3">
        <v>90000</v>
      </c>
      <c r="E336" s="3" t="s">
        <v>46</v>
      </c>
      <c r="F336">
        <v>2</v>
      </c>
      <c r="G336" t="s">
        <v>15</v>
      </c>
      <c r="H336" t="s">
        <v>23</v>
      </c>
      <c r="I336" t="s">
        <v>7</v>
      </c>
      <c r="J336">
        <v>1</v>
      </c>
      <c r="K336" t="s">
        <v>26</v>
      </c>
      <c r="L336" t="s">
        <v>27</v>
      </c>
      <c r="M336" t="s">
        <v>51</v>
      </c>
      <c r="N336" t="s">
        <v>20</v>
      </c>
    </row>
    <row r="337" spans="1:14">
      <c r="A337">
        <v>24369</v>
      </c>
      <c r="B337" t="s">
        <v>41</v>
      </c>
      <c r="C337" t="s">
        <v>44</v>
      </c>
      <c r="D337" s="3">
        <v>80000</v>
      </c>
      <c r="E337" s="3" t="s">
        <v>46</v>
      </c>
      <c r="F337">
        <v>5</v>
      </c>
      <c r="G337" t="s">
        <v>34</v>
      </c>
      <c r="H337" t="s">
        <v>31</v>
      </c>
      <c r="I337" t="s">
        <v>48</v>
      </c>
      <c r="J337">
        <v>2</v>
      </c>
      <c r="K337" t="s">
        <v>18</v>
      </c>
      <c r="L337" t="s">
        <v>27</v>
      </c>
      <c r="M337" t="s">
        <v>49</v>
      </c>
      <c r="N337" t="s">
        <v>20</v>
      </c>
    </row>
    <row r="338" spans="1:14">
      <c r="A338">
        <v>27165</v>
      </c>
      <c r="B338" t="s">
        <v>42</v>
      </c>
      <c r="C338" t="s">
        <v>44</v>
      </c>
      <c r="D338" s="3">
        <v>20000</v>
      </c>
      <c r="E338" s="3" t="s">
        <v>45</v>
      </c>
      <c r="F338">
        <v>0</v>
      </c>
      <c r="G338" t="s">
        <v>32</v>
      </c>
      <c r="H338" t="s">
        <v>28</v>
      </c>
      <c r="I338" t="s">
        <v>48</v>
      </c>
      <c r="J338">
        <v>2</v>
      </c>
      <c r="K338" t="s">
        <v>18</v>
      </c>
      <c r="L338" t="s">
        <v>19</v>
      </c>
      <c r="M338" t="s">
        <v>52</v>
      </c>
      <c r="N338" t="s">
        <v>20</v>
      </c>
    </row>
    <row r="339" spans="1:14">
      <c r="A339">
        <v>29424</v>
      </c>
      <c r="B339" t="s">
        <v>41</v>
      </c>
      <c r="C339" t="s">
        <v>44</v>
      </c>
      <c r="D339" s="3">
        <v>10000</v>
      </c>
      <c r="E339" s="3" t="s">
        <v>45</v>
      </c>
      <c r="F339">
        <v>0</v>
      </c>
      <c r="G339" t="s">
        <v>32</v>
      </c>
      <c r="H339" t="s">
        <v>28</v>
      </c>
      <c r="I339" t="s">
        <v>7</v>
      </c>
      <c r="J339">
        <v>2</v>
      </c>
      <c r="K339" t="s">
        <v>18</v>
      </c>
      <c r="L339" t="s">
        <v>19</v>
      </c>
      <c r="M339" t="s">
        <v>52</v>
      </c>
      <c r="N339" t="s">
        <v>20</v>
      </c>
    </row>
    <row r="340" spans="1:14">
      <c r="A340">
        <v>15926</v>
      </c>
      <c r="B340" t="s">
        <v>42</v>
      </c>
      <c r="C340" t="s">
        <v>43</v>
      </c>
      <c r="D340" s="3">
        <v>120000</v>
      </c>
      <c r="E340" s="3" t="s">
        <v>47</v>
      </c>
      <c r="F340">
        <v>3</v>
      </c>
      <c r="G340" t="s">
        <v>30</v>
      </c>
      <c r="H340" t="s">
        <v>23</v>
      </c>
      <c r="I340" t="s">
        <v>7</v>
      </c>
      <c r="J340">
        <v>4</v>
      </c>
      <c r="K340" t="s">
        <v>26</v>
      </c>
      <c r="L340" t="s">
        <v>19</v>
      </c>
      <c r="M340" t="s">
        <v>51</v>
      </c>
      <c r="N340" t="s">
        <v>17</v>
      </c>
    </row>
    <row r="341" spans="1:14">
      <c r="A341">
        <v>14554</v>
      </c>
      <c r="B341" t="s">
        <v>41</v>
      </c>
      <c r="C341" t="s">
        <v>44</v>
      </c>
      <c r="D341" s="3">
        <v>20000</v>
      </c>
      <c r="E341" s="3" t="s">
        <v>45</v>
      </c>
      <c r="F341">
        <v>1</v>
      </c>
      <c r="G341" t="s">
        <v>15</v>
      </c>
      <c r="H341" t="s">
        <v>22</v>
      </c>
      <c r="I341" t="s">
        <v>7</v>
      </c>
      <c r="J341">
        <v>0</v>
      </c>
      <c r="K341" t="s">
        <v>18</v>
      </c>
      <c r="L341" t="s">
        <v>19</v>
      </c>
      <c r="M341" t="s">
        <v>53</v>
      </c>
      <c r="N341" t="s">
        <v>20</v>
      </c>
    </row>
    <row r="342" spans="1:14">
      <c r="A342">
        <v>16468</v>
      </c>
      <c r="B342" t="s">
        <v>42</v>
      </c>
      <c r="C342" t="s">
        <v>44</v>
      </c>
      <c r="D342" s="3">
        <v>30000</v>
      </c>
      <c r="E342" s="3" t="s">
        <v>45</v>
      </c>
      <c r="F342">
        <v>0</v>
      </c>
      <c r="G342" t="s">
        <v>21</v>
      </c>
      <c r="H342" t="s">
        <v>22</v>
      </c>
      <c r="I342" t="s">
        <v>7</v>
      </c>
      <c r="J342">
        <v>1</v>
      </c>
      <c r="K342" t="s">
        <v>24</v>
      </c>
      <c r="L342" t="s">
        <v>19</v>
      </c>
      <c r="M342" t="s">
        <v>52</v>
      </c>
      <c r="N342" t="s">
        <v>20</v>
      </c>
    </row>
    <row r="343" spans="1:14">
      <c r="A343">
        <v>19174</v>
      </c>
      <c r="B343" t="s">
        <v>42</v>
      </c>
      <c r="C343" t="s">
        <v>43</v>
      </c>
      <c r="D343" s="3">
        <v>30000</v>
      </c>
      <c r="E343" s="3" t="s">
        <v>45</v>
      </c>
      <c r="F343">
        <v>0</v>
      </c>
      <c r="G343" t="s">
        <v>30</v>
      </c>
      <c r="H343" t="s">
        <v>28</v>
      </c>
      <c r="I343" t="s">
        <v>48</v>
      </c>
      <c r="J343">
        <v>1</v>
      </c>
      <c r="K343" t="s">
        <v>24</v>
      </c>
      <c r="L343" t="s">
        <v>19</v>
      </c>
      <c r="M343" t="s">
        <v>52</v>
      </c>
      <c r="N343" t="s">
        <v>17</v>
      </c>
    </row>
    <row r="344" spans="1:14">
      <c r="A344">
        <v>19183</v>
      </c>
      <c r="B344" t="s">
        <v>42</v>
      </c>
      <c r="C344" t="s">
        <v>44</v>
      </c>
      <c r="D344" s="3">
        <v>10000</v>
      </c>
      <c r="E344" s="3" t="s">
        <v>45</v>
      </c>
      <c r="F344">
        <v>0</v>
      </c>
      <c r="G344" t="s">
        <v>32</v>
      </c>
      <c r="H344" t="s">
        <v>28</v>
      </c>
      <c r="I344" t="s">
        <v>7</v>
      </c>
      <c r="J344">
        <v>2</v>
      </c>
      <c r="K344" t="s">
        <v>29</v>
      </c>
      <c r="L344" t="s">
        <v>19</v>
      </c>
      <c r="M344" t="s">
        <v>49</v>
      </c>
      <c r="N344" t="s">
        <v>20</v>
      </c>
    </row>
    <row r="345" spans="1:14">
      <c r="A345">
        <v>13683</v>
      </c>
      <c r="B345" t="s">
        <v>42</v>
      </c>
      <c r="C345" t="s">
        <v>43</v>
      </c>
      <c r="D345" s="3">
        <v>30000</v>
      </c>
      <c r="E345" s="3" t="s">
        <v>45</v>
      </c>
      <c r="F345">
        <v>0</v>
      </c>
      <c r="G345" t="s">
        <v>30</v>
      </c>
      <c r="H345" t="s">
        <v>28</v>
      </c>
      <c r="I345" t="s">
        <v>48</v>
      </c>
      <c r="J345">
        <v>1</v>
      </c>
      <c r="K345" t="s">
        <v>24</v>
      </c>
      <c r="L345" t="s">
        <v>19</v>
      </c>
      <c r="M345" t="s">
        <v>52</v>
      </c>
      <c r="N345" t="s">
        <v>20</v>
      </c>
    </row>
    <row r="346" spans="1:14">
      <c r="A346">
        <v>17848</v>
      </c>
      <c r="B346" t="s">
        <v>42</v>
      </c>
      <c r="C346" t="s">
        <v>44</v>
      </c>
      <c r="D346" s="3">
        <v>30000</v>
      </c>
      <c r="E346" s="3" t="s">
        <v>45</v>
      </c>
      <c r="F346">
        <v>0</v>
      </c>
      <c r="G346" t="s">
        <v>21</v>
      </c>
      <c r="H346" t="s">
        <v>22</v>
      </c>
      <c r="I346" t="s">
        <v>48</v>
      </c>
      <c r="J346">
        <v>1</v>
      </c>
      <c r="K346" t="s">
        <v>24</v>
      </c>
      <c r="L346" t="s">
        <v>19</v>
      </c>
      <c r="M346" t="s">
        <v>52</v>
      </c>
      <c r="N346" t="s">
        <v>17</v>
      </c>
    </row>
    <row r="347" spans="1:14">
      <c r="A347">
        <v>17894</v>
      </c>
      <c r="B347" t="s">
        <v>41</v>
      </c>
      <c r="C347" t="s">
        <v>43</v>
      </c>
      <c r="D347" s="3">
        <v>20000</v>
      </c>
      <c r="E347" s="3" t="s">
        <v>45</v>
      </c>
      <c r="F347">
        <v>1</v>
      </c>
      <c r="G347" t="s">
        <v>15</v>
      </c>
      <c r="H347" t="s">
        <v>22</v>
      </c>
      <c r="I347" t="s">
        <v>7</v>
      </c>
      <c r="J347">
        <v>0</v>
      </c>
      <c r="K347" t="s">
        <v>18</v>
      </c>
      <c r="L347" t="s">
        <v>19</v>
      </c>
      <c r="M347" t="s">
        <v>51</v>
      </c>
      <c r="N347" t="s">
        <v>17</v>
      </c>
    </row>
    <row r="348" spans="1:14">
      <c r="A348">
        <v>25651</v>
      </c>
      <c r="B348" t="s">
        <v>41</v>
      </c>
      <c r="C348" t="s">
        <v>44</v>
      </c>
      <c r="D348" s="3">
        <v>40000</v>
      </c>
      <c r="E348" s="3" t="s">
        <v>45</v>
      </c>
      <c r="F348">
        <v>1</v>
      </c>
      <c r="G348" t="s">
        <v>15</v>
      </c>
      <c r="H348" t="s">
        <v>16</v>
      </c>
      <c r="I348" t="s">
        <v>48</v>
      </c>
      <c r="J348">
        <v>0</v>
      </c>
      <c r="K348" t="s">
        <v>18</v>
      </c>
      <c r="L348" t="s">
        <v>19</v>
      </c>
      <c r="M348" t="s">
        <v>49</v>
      </c>
      <c r="N348" t="s">
        <v>17</v>
      </c>
    </row>
    <row r="349" spans="1:14">
      <c r="A349">
        <v>22936</v>
      </c>
      <c r="B349" t="s">
        <v>42</v>
      </c>
      <c r="C349" t="s">
        <v>43</v>
      </c>
      <c r="D349" s="3">
        <v>60000</v>
      </c>
      <c r="E349" s="3" t="s">
        <v>46</v>
      </c>
      <c r="F349">
        <v>1</v>
      </c>
      <c r="G349" t="s">
        <v>21</v>
      </c>
      <c r="H349" t="s">
        <v>16</v>
      </c>
      <c r="I349" t="s">
        <v>48</v>
      </c>
      <c r="J349">
        <v>1</v>
      </c>
      <c r="K349" t="s">
        <v>18</v>
      </c>
      <c r="L349" t="s">
        <v>27</v>
      </c>
      <c r="M349" t="s">
        <v>51</v>
      </c>
      <c r="N349" t="s">
        <v>17</v>
      </c>
    </row>
    <row r="350" spans="1:14">
      <c r="A350">
        <v>23915</v>
      </c>
      <c r="B350" t="s">
        <v>41</v>
      </c>
      <c r="C350" t="s">
        <v>44</v>
      </c>
      <c r="D350" s="3">
        <v>20000</v>
      </c>
      <c r="E350" s="3" t="s">
        <v>45</v>
      </c>
      <c r="F350">
        <v>2</v>
      </c>
      <c r="G350" t="s">
        <v>30</v>
      </c>
      <c r="H350" t="s">
        <v>28</v>
      </c>
      <c r="I350" t="s">
        <v>7</v>
      </c>
      <c r="J350">
        <v>2</v>
      </c>
      <c r="K350" t="s">
        <v>18</v>
      </c>
      <c r="L350" t="s">
        <v>19</v>
      </c>
      <c r="M350" t="s">
        <v>49</v>
      </c>
      <c r="N350" t="s">
        <v>20</v>
      </c>
    </row>
    <row r="351" spans="1:14">
      <c r="A351">
        <v>24121</v>
      </c>
      <c r="B351" t="s">
        <v>42</v>
      </c>
      <c r="C351" t="s">
        <v>43</v>
      </c>
      <c r="D351" s="3">
        <v>30000</v>
      </c>
      <c r="E351" s="3" t="s">
        <v>45</v>
      </c>
      <c r="F351">
        <v>0</v>
      </c>
      <c r="G351" t="s">
        <v>21</v>
      </c>
      <c r="H351" t="s">
        <v>22</v>
      </c>
      <c r="I351" t="s">
        <v>48</v>
      </c>
      <c r="J351">
        <v>1</v>
      </c>
      <c r="K351" t="s">
        <v>18</v>
      </c>
      <c r="L351" t="s">
        <v>19</v>
      </c>
      <c r="M351" t="s">
        <v>52</v>
      </c>
      <c r="N351" t="s">
        <v>17</v>
      </c>
    </row>
    <row r="352" spans="1:14">
      <c r="A352">
        <v>27878</v>
      </c>
      <c r="B352" t="s">
        <v>42</v>
      </c>
      <c r="C352" t="s">
        <v>44</v>
      </c>
      <c r="D352" s="3">
        <v>20000</v>
      </c>
      <c r="E352" s="3" t="s">
        <v>45</v>
      </c>
      <c r="F352">
        <v>0</v>
      </c>
      <c r="G352" t="s">
        <v>21</v>
      </c>
      <c r="H352" t="s">
        <v>28</v>
      </c>
      <c r="I352" t="s">
        <v>48</v>
      </c>
      <c r="J352">
        <v>0</v>
      </c>
      <c r="K352" t="s">
        <v>18</v>
      </c>
      <c r="L352" t="s">
        <v>27</v>
      </c>
      <c r="M352" t="s">
        <v>52</v>
      </c>
      <c r="N352" t="s">
        <v>17</v>
      </c>
    </row>
    <row r="353" spans="1:14">
      <c r="A353">
        <v>13572</v>
      </c>
      <c r="B353" t="s">
        <v>42</v>
      </c>
      <c r="C353" t="s">
        <v>44</v>
      </c>
      <c r="D353" s="3">
        <v>10000</v>
      </c>
      <c r="E353" s="3" t="s">
        <v>45</v>
      </c>
      <c r="F353">
        <v>3</v>
      </c>
      <c r="G353" t="s">
        <v>30</v>
      </c>
      <c r="H353" t="s">
        <v>28</v>
      </c>
      <c r="I353" t="s">
        <v>7</v>
      </c>
      <c r="J353">
        <v>0</v>
      </c>
      <c r="K353" t="s">
        <v>18</v>
      </c>
      <c r="L353" t="s">
        <v>19</v>
      </c>
      <c r="M353" t="s">
        <v>49</v>
      </c>
      <c r="N353" t="s">
        <v>17</v>
      </c>
    </row>
    <row r="354" spans="1:14">
      <c r="A354">
        <v>27941</v>
      </c>
      <c r="B354" t="s">
        <v>41</v>
      </c>
      <c r="C354" t="s">
        <v>43</v>
      </c>
      <c r="D354" s="3">
        <v>80000</v>
      </c>
      <c r="E354" s="3" t="s">
        <v>46</v>
      </c>
      <c r="F354">
        <v>4</v>
      </c>
      <c r="G354" t="s">
        <v>21</v>
      </c>
      <c r="H354" t="s">
        <v>23</v>
      </c>
      <c r="I354" t="s">
        <v>7</v>
      </c>
      <c r="J354">
        <v>2</v>
      </c>
      <c r="K354" t="s">
        <v>24</v>
      </c>
      <c r="L354" t="s">
        <v>19</v>
      </c>
      <c r="M354" t="s">
        <v>51</v>
      </c>
      <c r="N354" t="s">
        <v>20</v>
      </c>
    </row>
    <row r="355" spans="1:14">
      <c r="A355">
        <v>26354</v>
      </c>
      <c r="B355" t="s">
        <v>42</v>
      </c>
      <c r="C355" t="s">
        <v>44</v>
      </c>
      <c r="D355" s="3">
        <v>40000</v>
      </c>
      <c r="E355" s="3" t="s">
        <v>45</v>
      </c>
      <c r="F355">
        <v>0</v>
      </c>
      <c r="G355" t="s">
        <v>34</v>
      </c>
      <c r="H355" t="s">
        <v>22</v>
      </c>
      <c r="I355" t="s">
        <v>48</v>
      </c>
      <c r="J355">
        <v>0</v>
      </c>
      <c r="K355" t="s">
        <v>18</v>
      </c>
      <c r="L355" t="s">
        <v>19</v>
      </c>
      <c r="M355" t="s">
        <v>49</v>
      </c>
      <c r="N355" t="s">
        <v>17</v>
      </c>
    </row>
    <row r="356" spans="1:14">
      <c r="A356">
        <v>14785</v>
      </c>
      <c r="B356" t="s">
        <v>42</v>
      </c>
      <c r="C356" t="s">
        <v>44</v>
      </c>
      <c r="D356" s="3">
        <v>30000</v>
      </c>
      <c r="E356" s="3" t="s">
        <v>45</v>
      </c>
      <c r="F356">
        <v>1</v>
      </c>
      <c r="G356" t="s">
        <v>15</v>
      </c>
      <c r="H356" t="s">
        <v>22</v>
      </c>
      <c r="I356" t="s">
        <v>48</v>
      </c>
      <c r="J356">
        <v>1</v>
      </c>
      <c r="K356" t="s">
        <v>29</v>
      </c>
      <c r="L356" t="s">
        <v>19</v>
      </c>
      <c r="M356" t="s">
        <v>49</v>
      </c>
      <c r="N356" t="s">
        <v>20</v>
      </c>
    </row>
    <row r="357" spans="1:14">
      <c r="A357">
        <v>17238</v>
      </c>
      <c r="B357" t="s">
        <v>42</v>
      </c>
      <c r="C357" t="s">
        <v>44</v>
      </c>
      <c r="D357" s="3">
        <v>80000</v>
      </c>
      <c r="E357" s="3" t="s">
        <v>46</v>
      </c>
      <c r="F357">
        <v>0</v>
      </c>
      <c r="G357" t="s">
        <v>15</v>
      </c>
      <c r="H357" t="s">
        <v>23</v>
      </c>
      <c r="I357" t="s">
        <v>7</v>
      </c>
      <c r="J357">
        <v>3</v>
      </c>
      <c r="K357" t="s">
        <v>33</v>
      </c>
      <c r="L357" t="s">
        <v>27</v>
      </c>
      <c r="M357" t="s">
        <v>52</v>
      </c>
      <c r="N357" t="s">
        <v>20</v>
      </c>
    </row>
    <row r="358" spans="1:14">
      <c r="A358">
        <v>23608</v>
      </c>
      <c r="B358" t="s">
        <v>41</v>
      </c>
      <c r="C358" t="s">
        <v>43</v>
      </c>
      <c r="D358" s="3">
        <v>150000</v>
      </c>
      <c r="E358" s="3" t="s">
        <v>47</v>
      </c>
      <c r="F358">
        <v>3</v>
      </c>
      <c r="G358" t="s">
        <v>30</v>
      </c>
      <c r="H358" t="s">
        <v>23</v>
      </c>
      <c r="I358" t="s">
        <v>7</v>
      </c>
      <c r="J358">
        <v>3</v>
      </c>
      <c r="K358" t="s">
        <v>18</v>
      </c>
      <c r="L358" t="s">
        <v>19</v>
      </c>
      <c r="M358" t="s">
        <v>51</v>
      </c>
      <c r="N358" t="s">
        <v>17</v>
      </c>
    </row>
    <row r="359" spans="1:14">
      <c r="A359">
        <v>22538</v>
      </c>
      <c r="B359" t="s">
        <v>42</v>
      </c>
      <c r="C359" t="s">
        <v>43</v>
      </c>
      <c r="D359" s="3">
        <v>10000</v>
      </c>
      <c r="E359" s="3" t="s">
        <v>45</v>
      </c>
      <c r="F359">
        <v>0</v>
      </c>
      <c r="G359" t="s">
        <v>32</v>
      </c>
      <c r="H359" t="s">
        <v>28</v>
      </c>
      <c r="I359" t="s">
        <v>7</v>
      </c>
      <c r="J359">
        <v>2</v>
      </c>
      <c r="K359" t="s">
        <v>29</v>
      </c>
      <c r="L359" t="s">
        <v>19</v>
      </c>
      <c r="M359" t="s">
        <v>52</v>
      </c>
      <c r="N359" t="s">
        <v>20</v>
      </c>
    </row>
    <row r="360" spans="1:14">
      <c r="A360">
        <v>12332</v>
      </c>
      <c r="B360" t="s">
        <v>41</v>
      </c>
      <c r="C360" t="s">
        <v>44</v>
      </c>
      <c r="D360" s="3">
        <v>90000</v>
      </c>
      <c r="E360" s="3" t="s">
        <v>46</v>
      </c>
      <c r="F360">
        <v>4</v>
      </c>
      <c r="G360" t="s">
        <v>30</v>
      </c>
      <c r="H360" t="s">
        <v>31</v>
      </c>
      <c r="I360" t="s">
        <v>7</v>
      </c>
      <c r="J360">
        <v>3</v>
      </c>
      <c r="K360" t="s">
        <v>26</v>
      </c>
      <c r="L360" t="s">
        <v>19</v>
      </c>
      <c r="M360" t="s">
        <v>50</v>
      </c>
      <c r="N360" t="s">
        <v>17</v>
      </c>
    </row>
    <row r="361" spans="1:14">
      <c r="A361">
        <v>17230</v>
      </c>
      <c r="B361" t="s">
        <v>41</v>
      </c>
      <c r="C361" t="s">
        <v>44</v>
      </c>
      <c r="D361" s="3">
        <v>80000</v>
      </c>
      <c r="E361" s="3" t="s">
        <v>46</v>
      </c>
      <c r="F361">
        <v>0</v>
      </c>
      <c r="G361" t="s">
        <v>15</v>
      </c>
      <c r="H361" t="s">
        <v>23</v>
      </c>
      <c r="I361" t="s">
        <v>7</v>
      </c>
      <c r="J361">
        <v>3</v>
      </c>
      <c r="K361" t="s">
        <v>33</v>
      </c>
      <c r="L361" t="s">
        <v>27</v>
      </c>
      <c r="M361" t="s">
        <v>52</v>
      </c>
      <c r="N361" t="s">
        <v>20</v>
      </c>
    </row>
    <row r="362" spans="1:14">
      <c r="A362">
        <v>13082</v>
      </c>
      <c r="B362" t="s">
        <v>42</v>
      </c>
      <c r="C362" t="s">
        <v>44</v>
      </c>
      <c r="D362" s="3">
        <v>130000</v>
      </c>
      <c r="E362" s="3" t="s">
        <v>47</v>
      </c>
      <c r="F362">
        <v>0</v>
      </c>
      <c r="G362" t="s">
        <v>34</v>
      </c>
      <c r="H362" t="s">
        <v>31</v>
      </c>
      <c r="I362" t="s">
        <v>7</v>
      </c>
      <c r="J362">
        <v>0</v>
      </c>
      <c r="K362" t="s">
        <v>24</v>
      </c>
      <c r="L362" t="s">
        <v>27</v>
      </c>
      <c r="M362" t="s">
        <v>51</v>
      </c>
      <c r="N362" t="s">
        <v>17</v>
      </c>
    </row>
    <row r="363" spans="1:14">
      <c r="A363">
        <v>22518</v>
      </c>
      <c r="B363" t="s">
        <v>42</v>
      </c>
      <c r="C363" t="s">
        <v>43</v>
      </c>
      <c r="D363" s="3">
        <v>30000</v>
      </c>
      <c r="E363" s="3" t="s">
        <v>45</v>
      </c>
      <c r="F363">
        <v>3</v>
      </c>
      <c r="G363" t="s">
        <v>21</v>
      </c>
      <c r="H363" t="s">
        <v>22</v>
      </c>
      <c r="I363" t="s">
        <v>48</v>
      </c>
      <c r="J363">
        <v>2</v>
      </c>
      <c r="K363" t="s">
        <v>18</v>
      </c>
      <c r="L363" t="s">
        <v>19</v>
      </c>
      <c r="M363" t="s">
        <v>52</v>
      </c>
      <c r="N363" t="s">
        <v>17</v>
      </c>
    </row>
    <row r="364" spans="1:14">
      <c r="A364">
        <v>13687</v>
      </c>
      <c r="B364" t="s">
        <v>41</v>
      </c>
      <c r="C364" t="s">
        <v>44</v>
      </c>
      <c r="D364" s="3">
        <v>40000</v>
      </c>
      <c r="E364" s="3" t="s">
        <v>45</v>
      </c>
      <c r="F364">
        <v>1</v>
      </c>
      <c r="G364" t="s">
        <v>15</v>
      </c>
      <c r="H364" t="s">
        <v>16</v>
      </c>
      <c r="I364" t="s">
        <v>7</v>
      </c>
      <c r="J364">
        <v>1</v>
      </c>
      <c r="K364" t="s">
        <v>18</v>
      </c>
      <c r="L364" t="s">
        <v>19</v>
      </c>
      <c r="M364" t="s">
        <v>52</v>
      </c>
      <c r="N364" t="s">
        <v>17</v>
      </c>
    </row>
    <row r="365" spans="1:14">
      <c r="A365">
        <v>23571</v>
      </c>
      <c r="B365" t="s">
        <v>41</v>
      </c>
      <c r="C365" t="s">
        <v>43</v>
      </c>
      <c r="D365" s="3">
        <v>40000</v>
      </c>
      <c r="E365" s="3" t="s">
        <v>45</v>
      </c>
      <c r="F365">
        <v>2</v>
      </c>
      <c r="G365" t="s">
        <v>15</v>
      </c>
      <c r="H365" t="s">
        <v>31</v>
      </c>
      <c r="I365" t="s">
        <v>7</v>
      </c>
      <c r="J365">
        <v>2</v>
      </c>
      <c r="K365" t="s">
        <v>18</v>
      </c>
      <c r="L365" t="s">
        <v>27</v>
      </c>
      <c r="M365" t="s">
        <v>53</v>
      </c>
      <c r="N365" t="s">
        <v>17</v>
      </c>
    </row>
    <row r="366" spans="1:14">
      <c r="A366">
        <v>19305</v>
      </c>
      <c r="B366" t="s">
        <v>42</v>
      </c>
      <c r="C366" t="s">
        <v>43</v>
      </c>
      <c r="D366" s="3">
        <v>10000</v>
      </c>
      <c r="E366" s="3" t="s">
        <v>45</v>
      </c>
      <c r="F366">
        <v>2</v>
      </c>
      <c r="G366" t="s">
        <v>30</v>
      </c>
      <c r="H366" t="s">
        <v>28</v>
      </c>
      <c r="I366" t="s">
        <v>7</v>
      </c>
      <c r="J366">
        <v>1</v>
      </c>
      <c r="K366" t="s">
        <v>18</v>
      </c>
      <c r="L366" t="s">
        <v>19</v>
      </c>
      <c r="M366" t="s">
        <v>49</v>
      </c>
      <c r="N366" t="s">
        <v>17</v>
      </c>
    </row>
    <row r="367" spans="1:14">
      <c r="A367">
        <v>22636</v>
      </c>
      <c r="B367" t="s">
        <v>42</v>
      </c>
      <c r="C367" t="s">
        <v>43</v>
      </c>
      <c r="D367" s="3">
        <v>40000</v>
      </c>
      <c r="E367" s="3" t="s">
        <v>45</v>
      </c>
      <c r="F367">
        <v>0</v>
      </c>
      <c r="G367" t="s">
        <v>15</v>
      </c>
      <c r="H367" t="s">
        <v>22</v>
      </c>
      <c r="I367" t="s">
        <v>48</v>
      </c>
      <c r="J367">
        <v>0</v>
      </c>
      <c r="K367" t="s">
        <v>18</v>
      </c>
      <c r="L367" t="s">
        <v>19</v>
      </c>
      <c r="M367" t="s">
        <v>49</v>
      </c>
      <c r="N367" t="s">
        <v>17</v>
      </c>
    </row>
    <row r="368" spans="1:14">
      <c r="A368">
        <v>17310</v>
      </c>
      <c r="B368" t="s">
        <v>41</v>
      </c>
      <c r="C368" t="s">
        <v>44</v>
      </c>
      <c r="D368" s="3">
        <v>60000</v>
      </c>
      <c r="E368" s="3" t="s">
        <v>46</v>
      </c>
      <c r="F368">
        <v>1</v>
      </c>
      <c r="G368" t="s">
        <v>21</v>
      </c>
      <c r="H368" t="s">
        <v>16</v>
      </c>
      <c r="I368" t="s">
        <v>7</v>
      </c>
      <c r="J368">
        <v>1</v>
      </c>
      <c r="K368" t="s">
        <v>18</v>
      </c>
      <c r="L368" t="s">
        <v>27</v>
      </c>
      <c r="M368" t="s">
        <v>51</v>
      </c>
      <c r="N368" t="s">
        <v>17</v>
      </c>
    </row>
    <row r="369" spans="1:14">
      <c r="A369">
        <v>12133</v>
      </c>
      <c r="B369" t="s">
        <v>41</v>
      </c>
      <c r="C369" t="s">
        <v>43</v>
      </c>
      <c r="D369" s="3">
        <v>130000</v>
      </c>
      <c r="E369" s="3" t="s">
        <v>47</v>
      </c>
      <c r="F369">
        <v>3</v>
      </c>
      <c r="G369" t="s">
        <v>21</v>
      </c>
      <c r="H369" t="s">
        <v>23</v>
      </c>
      <c r="I369" t="s">
        <v>7</v>
      </c>
      <c r="J369">
        <v>3</v>
      </c>
      <c r="K369" t="s">
        <v>26</v>
      </c>
      <c r="L369" t="s">
        <v>19</v>
      </c>
      <c r="M369" t="s">
        <v>51</v>
      </c>
      <c r="N369" t="s">
        <v>17</v>
      </c>
    </row>
    <row r="370" spans="1:14">
      <c r="A370">
        <v>25918</v>
      </c>
      <c r="B370" t="s">
        <v>42</v>
      </c>
      <c r="C370" t="s">
        <v>43</v>
      </c>
      <c r="D370" s="3">
        <v>30000</v>
      </c>
      <c r="E370" s="3" t="s">
        <v>45</v>
      </c>
      <c r="F370">
        <v>2</v>
      </c>
      <c r="G370" t="s">
        <v>21</v>
      </c>
      <c r="H370" t="s">
        <v>22</v>
      </c>
      <c r="I370" t="s">
        <v>48</v>
      </c>
      <c r="J370">
        <v>2</v>
      </c>
      <c r="K370" t="s">
        <v>26</v>
      </c>
      <c r="L370" t="s">
        <v>27</v>
      </c>
      <c r="M370" t="s">
        <v>50</v>
      </c>
      <c r="N370" t="s">
        <v>17</v>
      </c>
    </row>
    <row r="371" spans="1:14">
      <c r="A371">
        <v>25752</v>
      </c>
      <c r="B371" t="s">
        <v>42</v>
      </c>
      <c r="C371" t="s">
        <v>43</v>
      </c>
      <c r="D371" s="3">
        <v>20000</v>
      </c>
      <c r="E371" s="3" t="s">
        <v>45</v>
      </c>
      <c r="F371">
        <v>2</v>
      </c>
      <c r="G371" t="s">
        <v>21</v>
      </c>
      <c r="H371" t="s">
        <v>28</v>
      </c>
      <c r="I371" t="s">
        <v>48</v>
      </c>
      <c r="J371">
        <v>1</v>
      </c>
      <c r="K371" t="s">
        <v>18</v>
      </c>
      <c r="L371" t="s">
        <v>19</v>
      </c>
      <c r="M371" t="s">
        <v>51</v>
      </c>
      <c r="N371" t="s">
        <v>17</v>
      </c>
    </row>
    <row r="372" spans="1:14">
      <c r="A372">
        <v>17324</v>
      </c>
      <c r="B372" t="s">
        <v>41</v>
      </c>
      <c r="C372" t="s">
        <v>43</v>
      </c>
      <c r="D372" s="3">
        <v>100000</v>
      </c>
      <c r="E372" s="3" t="s">
        <v>46</v>
      </c>
      <c r="F372">
        <v>4</v>
      </c>
      <c r="G372" t="s">
        <v>15</v>
      </c>
      <c r="H372" t="s">
        <v>23</v>
      </c>
      <c r="I372" t="s">
        <v>7</v>
      </c>
      <c r="J372">
        <v>1</v>
      </c>
      <c r="K372" t="s">
        <v>33</v>
      </c>
      <c r="L372" t="s">
        <v>27</v>
      </c>
      <c r="M372" t="s">
        <v>51</v>
      </c>
      <c r="N372" t="s">
        <v>20</v>
      </c>
    </row>
    <row r="373" spans="1:14">
      <c r="A373">
        <v>22918</v>
      </c>
      <c r="B373" t="s">
        <v>42</v>
      </c>
      <c r="C373" t="s">
        <v>44</v>
      </c>
      <c r="D373" s="3">
        <v>80000</v>
      </c>
      <c r="E373" s="3" t="s">
        <v>46</v>
      </c>
      <c r="F373">
        <v>5</v>
      </c>
      <c r="G373" t="s">
        <v>34</v>
      </c>
      <c r="H373" t="s">
        <v>31</v>
      </c>
      <c r="I373" t="s">
        <v>7</v>
      </c>
      <c r="J373">
        <v>3</v>
      </c>
      <c r="K373" t="s">
        <v>18</v>
      </c>
      <c r="L373" t="s">
        <v>27</v>
      </c>
      <c r="M373" t="s">
        <v>51</v>
      </c>
      <c r="N373" t="s">
        <v>20</v>
      </c>
    </row>
    <row r="374" spans="1:14">
      <c r="A374">
        <v>12510</v>
      </c>
      <c r="B374" t="s">
        <v>41</v>
      </c>
      <c r="C374" t="s">
        <v>44</v>
      </c>
      <c r="D374" s="3">
        <v>40000</v>
      </c>
      <c r="E374" s="3" t="s">
        <v>45</v>
      </c>
      <c r="F374">
        <v>1</v>
      </c>
      <c r="G374" t="s">
        <v>15</v>
      </c>
      <c r="H374" t="s">
        <v>16</v>
      </c>
      <c r="I374" t="s">
        <v>7</v>
      </c>
      <c r="J374">
        <v>1</v>
      </c>
      <c r="K374" t="s">
        <v>18</v>
      </c>
      <c r="L374" t="s">
        <v>19</v>
      </c>
      <c r="M374" t="s">
        <v>49</v>
      </c>
      <c r="N374" t="s">
        <v>17</v>
      </c>
    </row>
    <row r="375" spans="1:14">
      <c r="A375">
        <v>25512</v>
      </c>
      <c r="B375" t="s">
        <v>42</v>
      </c>
      <c r="C375" t="s">
        <v>44</v>
      </c>
      <c r="D375" s="3">
        <v>20000</v>
      </c>
      <c r="E375" s="3" t="s">
        <v>45</v>
      </c>
      <c r="F375">
        <v>0</v>
      </c>
      <c r="G375" t="s">
        <v>30</v>
      </c>
      <c r="H375" t="s">
        <v>28</v>
      </c>
      <c r="I375" t="s">
        <v>48</v>
      </c>
      <c r="J375">
        <v>1</v>
      </c>
      <c r="K375" t="s">
        <v>24</v>
      </c>
      <c r="L375" t="s">
        <v>19</v>
      </c>
      <c r="M375" t="s">
        <v>52</v>
      </c>
      <c r="N375" t="s">
        <v>20</v>
      </c>
    </row>
    <row r="376" spans="1:14">
      <c r="A376">
        <v>16179</v>
      </c>
      <c r="B376" t="s">
        <v>42</v>
      </c>
      <c r="C376" t="s">
        <v>43</v>
      </c>
      <c r="D376" s="3">
        <v>80000</v>
      </c>
      <c r="E376" s="3" t="s">
        <v>46</v>
      </c>
      <c r="F376">
        <v>5</v>
      </c>
      <c r="G376" t="s">
        <v>15</v>
      </c>
      <c r="H376" t="s">
        <v>23</v>
      </c>
      <c r="I376" t="s">
        <v>7</v>
      </c>
      <c r="J376">
        <v>4</v>
      </c>
      <c r="K376" t="s">
        <v>29</v>
      </c>
      <c r="L376" t="s">
        <v>27</v>
      </c>
      <c r="M376" t="s">
        <v>49</v>
      </c>
      <c r="N376" t="s">
        <v>20</v>
      </c>
    </row>
    <row r="377" spans="1:14">
      <c r="A377">
        <v>15628</v>
      </c>
      <c r="B377" t="s">
        <v>41</v>
      </c>
      <c r="C377" t="s">
        <v>43</v>
      </c>
      <c r="D377" s="3">
        <v>40000</v>
      </c>
      <c r="E377" s="3" t="s">
        <v>45</v>
      </c>
      <c r="F377">
        <v>1</v>
      </c>
      <c r="G377" t="s">
        <v>15</v>
      </c>
      <c r="H377" t="s">
        <v>16</v>
      </c>
      <c r="I377" t="s">
        <v>7</v>
      </c>
      <c r="J377">
        <v>1</v>
      </c>
      <c r="K377" t="s">
        <v>18</v>
      </c>
      <c r="L377" t="s">
        <v>19</v>
      </c>
      <c r="M377" t="s">
        <v>53</v>
      </c>
      <c r="N377" t="s">
        <v>20</v>
      </c>
    </row>
    <row r="378" spans="1:14">
      <c r="A378">
        <v>20977</v>
      </c>
      <c r="B378" t="s">
        <v>41</v>
      </c>
      <c r="C378" t="s">
        <v>44</v>
      </c>
      <c r="D378" s="3">
        <v>20000</v>
      </c>
      <c r="E378" s="3" t="s">
        <v>45</v>
      </c>
      <c r="F378">
        <v>1</v>
      </c>
      <c r="G378" t="s">
        <v>15</v>
      </c>
      <c r="H378" t="s">
        <v>22</v>
      </c>
      <c r="I378" t="s">
        <v>7</v>
      </c>
      <c r="J378">
        <v>0</v>
      </c>
      <c r="K378" t="s">
        <v>18</v>
      </c>
      <c r="L378" t="s">
        <v>19</v>
      </c>
      <c r="M378" t="s">
        <v>50</v>
      </c>
      <c r="N378" t="s">
        <v>17</v>
      </c>
    </row>
    <row r="379" spans="1:14">
      <c r="A379">
        <v>18140</v>
      </c>
      <c r="B379" t="s">
        <v>41</v>
      </c>
      <c r="C379" t="s">
        <v>44</v>
      </c>
      <c r="D379" s="3">
        <v>130000</v>
      </c>
      <c r="E379" s="3" t="s">
        <v>47</v>
      </c>
      <c r="F379">
        <v>3</v>
      </c>
      <c r="G379" t="s">
        <v>21</v>
      </c>
      <c r="H379" t="s">
        <v>23</v>
      </c>
      <c r="I379" t="s">
        <v>48</v>
      </c>
      <c r="J379">
        <v>3</v>
      </c>
      <c r="K379" t="s">
        <v>26</v>
      </c>
      <c r="L379" t="s">
        <v>19</v>
      </c>
      <c r="M379" t="s">
        <v>51</v>
      </c>
      <c r="N379" t="s">
        <v>17</v>
      </c>
    </row>
    <row r="380" spans="1:14">
      <c r="A380">
        <v>20417</v>
      </c>
      <c r="B380" t="s">
        <v>41</v>
      </c>
      <c r="C380" t="s">
        <v>44</v>
      </c>
      <c r="D380" s="3">
        <v>30000</v>
      </c>
      <c r="E380" s="3" t="s">
        <v>45</v>
      </c>
      <c r="F380">
        <v>3</v>
      </c>
      <c r="G380" t="s">
        <v>21</v>
      </c>
      <c r="H380" t="s">
        <v>22</v>
      </c>
      <c r="I380" t="s">
        <v>48</v>
      </c>
      <c r="J380">
        <v>2</v>
      </c>
      <c r="K380" t="s">
        <v>26</v>
      </c>
      <c r="L380" t="s">
        <v>27</v>
      </c>
      <c r="M380" t="s">
        <v>50</v>
      </c>
      <c r="N380" t="s">
        <v>20</v>
      </c>
    </row>
    <row r="381" spans="1:14">
      <c r="A381">
        <v>18267</v>
      </c>
      <c r="B381" t="s">
        <v>41</v>
      </c>
      <c r="C381" t="s">
        <v>44</v>
      </c>
      <c r="D381" s="3">
        <v>60000</v>
      </c>
      <c r="E381" s="3" t="s">
        <v>46</v>
      </c>
      <c r="F381">
        <v>3</v>
      </c>
      <c r="G381" t="s">
        <v>15</v>
      </c>
      <c r="H381" t="s">
        <v>23</v>
      </c>
      <c r="I381" t="s">
        <v>7</v>
      </c>
      <c r="J381">
        <v>2</v>
      </c>
      <c r="K381" t="s">
        <v>26</v>
      </c>
      <c r="L381" t="s">
        <v>27</v>
      </c>
      <c r="M381" t="s">
        <v>49</v>
      </c>
      <c r="N381" t="s">
        <v>20</v>
      </c>
    </row>
    <row r="382" spans="1:14">
      <c r="A382">
        <v>13620</v>
      </c>
      <c r="B382" t="s">
        <v>42</v>
      </c>
      <c r="C382" t="s">
        <v>44</v>
      </c>
      <c r="D382" s="3">
        <v>70000</v>
      </c>
      <c r="E382" s="3" t="s">
        <v>46</v>
      </c>
      <c r="F382">
        <v>0</v>
      </c>
      <c r="G382" t="s">
        <v>15</v>
      </c>
      <c r="H382" t="s">
        <v>23</v>
      </c>
      <c r="I382" t="s">
        <v>48</v>
      </c>
      <c r="J382">
        <v>3</v>
      </c>
      <c r="K382" t="s">
        <v>33</v>
      </c>
      <c r="L382" t="s">
        <v>27</v>
      </c>
      <c r="M382" t="s">
        <v>52</v>
      </c>
      <c r="N382" t="s">
        <v>17</v>
      </c>
    </row>
    <row r="383" spans="1:14">
      <c r="A383">
        <v>22974</v>
      </c>
      <c r="B383" t="s">
        <v>41</v>
      </c>
      <c r="C383" t="s">
        <v>43</v>
      </c>
      <c r="D383" s="3">
        <v>30000</v>
      </c>
      <c r="E383" s="3" t="s">
        <v>45</v>
      </c>
      <c r="F383">
        <v>2</v>
      </c>
      <c r="G383" t="s">
        <v>21</v>
      </c>
      <c r="H383" t="s">
        <v>22</v>
      </c>
      <c r="I383" t="s">
        <v>7</v>
      </c>
      <c r="J383">
        <v>2</v>
      </c>
      <c r="K383" t="s">
        <v>26</v>
      </c>
      <c r="L383" t="s">
        <v>27</v>
      </c>
      <c r="M383" t="s">
        <v>53</v>
      </c>
      <c r="N383" t="s">
        <v>20</v>
      </c>
    </row>
    <row r="384" spans="1:14">
      <c r="A384">
        <v>13586</v>
      </c>
      <c r="B384" t="s">
        <v>41</v>
      </c>
      <c r="C384" t="s">
        <v>44</v>
      </c>
      <c r="D384" s="3">
        <v>80000</v>
      </c>
      <c r="E384" s="3" t="s">
        <v>46</v>
      </c>
      <c r="F384">
        <v>4</v>
      </c>
      <c r="G384" t="s">
        <v>21</v>
      </c>
      <c r="H384" t="s">
        <v>23</v>
      </c>
      <c r="I384" t="s">
        <v>7</v>
      </c>
      <c r="J384">
        <v>2</v>
      </c>
      <c r="K384" t="s">
        <v>33</v>
      </c>
      <c r="L384" t="s">
        <v>19</v>
      </c>
      <c r="M384" t="s">
        <v>51</v>
      </c>
      <c r="N384" t="s">
        <v>20</v>
      </c>
    </row>
    <row r="385" spans="1:14">
      <c r="A385">
        <v>17978</v>
      </c>
      <c r="B385" t="s">
        <v>41</v>
      </c>
      <c r="C385" t="s">
        <v>44</v>
      </c>
      <c r="D385" s="3">
        <v>40000</v>
      </c>
      <c r="E385" s="3" t="s">
        <v>45</v>
      </c>
      <c r="F385">
        <v>0</v>
      </c>
      <c r="G385" t="s">
        <v>34</v>
      </c>
      <c r="H385" t="s">
        <v>22</v>
      </c>
      <c r="I385" t="s">
        <v>7</v>
      </c>
      <c r="J385">
        <v>0</v>
      </c>
      <c r="K385" t="s">
        <v>18</v>
      </c>
      <c r="L385" t="s">
        <v>19</v>
      </c>
      <c r="M385" t="s">
        <v>49</v>
      </c>
      <c r="N385" t="s">
        <v>17</v>
      </c>
    </row>
    <row r="386" spans="1:14">
      <c r="A386">
        <v>12581</v>
      </c>
      <c r="B386" t="s">
        <v>42</v>
      </c>
      <c r="C386" t="s">
        <v>43</v>
      </c>
      <c r="D386" s="3">
        <v>10000</v>
      </c>
      <c r="E386" s="3" t="s">
        <v>45</v>
      </c>
      <c r="F386">
        <v>0</v>
      </c>
      <c r="G386" t="s">
        <v>21</v>
      </c>
      <c r="H386" t="s">
        <v>28</v>
      </c>
      <c r="I386" t="s">
        <v>48</v>
      </c>
      <c r="J386">
        <v>1</v>
      </c>
      <c r="K386" t="s">
        <v>18</v>
      </c>
      <c r="L386" t="s">
        <v>27</v>
      </c>
      <c r="M386" t="s">
        <v>52</v>
      </c>
      <c r="N386" t="s">
        <v>17</v>
      </c>
    </row>
    <row r="387" spans="1:14">
      <c r="A387">
        <v>18018</v>
      </c>
      <c r="B387" t="s">
        <v>42</v>
      </c>
      <c r="C387" t="s">
        <v>44</v>
      </c>
      <c r="D387" s="3">
        <v>30000</v>
      </c>
      <c r="E387" s="3" t="s">
        <v>45</v>
      </c>
      <c r="F387">
        <v>3</v>
      </c>
      <c r="G387" t="s">
        <v>21</v>
      </c>
      <c r="H387" t="s">
        <v>22</v>
      </c>
      <c r="I387" t="s">
        <v>7</v>
      </c>
      <c r="J387">
        <v>0</v>
      </c>
      <c r="K387" t="s">
        <v>18</v>
      </c>
      <c r="L387" t="s">
        <v>19</v>
      </c>
      <c r="M387" t="s">
        <v>49</v>
      </c>
      <c r="N387" t="s">
        <v>20</v>
      </c>
    </row>
    <row r="388" spans="1:14">
      <c r="A388">
        <v>28957</v>
      </c>
      <c r="B388" t="s">
        <v>42</v>
      </c>
      <c r="C388" t="s">
        <v>43</v>
      </c>
      <c r="D388" s="3">
        <v>120000</v>
      </c>
      <c r="E388" s="3" t="s">
        <v>47</v>
      </c>
      <c r="F388">
        <v>0</v>
      </c>
      <c r="G388" t="s">
        <v>32</v>
      </c>
      <c r="H388" t="s">
        <v>23</v>
      </c>
      <c r="I388" t="s">
        <v>7</v>
      </c>
      <c r="J388">
        <v>4</v>
      </c>
      <c r="K388" t="s">
        <v>33</v>
      </c>
      <c r="L388" t="s">
        <v>27</v>
      </c>
      <c r="M388" t="s">
        <v>52</v>
      </c>
      <c r="N388" t="s">
        <v>17</v>
      </c>
    </row>
    <row r="389" spans="1:14">
      <c r="A389">
        <v>13690</v>
      </c>
      <c r="B389" t="s">
        <v>42</v>
      </c>
      <c r="C389" t="s">
        <v>43</v>
      </c>
      <c r="D389" s="3">
        <v>20000</v>
      </c>
      <c r="E389" s="3" t="s">
        <v>45</v>
      </c>
      <c r="F389">
        <v>0</v>
      </c>
      <c r="G389" t="s">
        <v>32</v>
      </c>
      <c r="H389" t="s">
        <v>28</v>
      </c>
      <c r="I389" t="s">
        <v>48</v>
      </c>
      <c r="J389">
        <v>2</v>
      </c>
      <c r="K389" t="s">
        <v>29</v>
      </c>
      <c r="L389" t="s">
        <v>19</v>
      </c>
      <c r="M389" t="s">
        <v>52</v>
      </c>
      <c r="N389" t="s">
        <v>17</v>
      </c>
    </row>
    <row r="390" spans="1:14">
      <c r="A390">
        <v>12568</v>
      </c>
      <c r="B390" t="s">
        <v>41</v>
      </c>
      <c r="C390" t="s">
        <v>43</v>
      </c>
      <c r="D390" s="3">
        <v>30000</v>
      </c>
      <c r="E390" s="3" t="s">
        <v>45</v>
      </c>
      <c r="F390">
        <v>1</v>
      </c>
      <c r="G390" t="s">
        <v>15</v>
      </c>
      <c r="H390" t="s">
        <v>22</v>
      </c>
      <c r="I390" t="s">
        <v>7</v>
      </c>
      <c r="J390">
        <v>0</v>
      </c>
      <c r="K390" t="s">
        <v>18</v>
      </c>
      <c r="L390" t="s">
        <v>19</v>
      </c>
      <c r="M390" t="s">
        <v>50</v>
      </c>
      <c r="N390" t="s">
        <v>20</v>
      </c>
    </row>
    <row r="391" spans="1:14">
      <c r="A391">
        <v>13122</v>
      </c>
      <c r="B391" t="s">
        <v>41</v>
      </c>
      <c r="C391" t="s">
        <v>43</v>
      </c>
      <c r="D391" s="3">
        <v>80000</v>
      </c>
      <c r="E391" s="3" t="s">
        <v>46</v>
      </c>
      <c r="F391">
        <v>0</v>
      </c>
      <c r="G391" t="s">
        <v>15</v>
      </c>
      <c r="H391" t="s">
        <v>23</v>
      </c>
      <c r="I391" t="s">
        <v>7</v>
      </c>
      <c r="J391">
        <v>1</v>
      </c>
      <c r="K391" t="s">
        <v>29</v>
      </c>
      <c r="L391" t="s">
        <v>27</v>
      </c>
      <c r="M391" t="s">
        <v>49</v>
      </c>
      <c r="N391" t="s">
        <v>17</v>
      </c>
    </row>
    <row r="392" spans="1:14">
      <c r="A392">
        <v>21184</v>
      </c>
      <c r="B392" t="s">
        <v>42</v>
      </c>
      <c r="C392" t="s">
        <v>44</v>
      </c>
      <c r="D392" s="3">
        <v>70000</v>
      </c>
      <c r="E392" s="3" t="s">
        <v>46</v>
      </c>
      <c r="F392">
        <v>0</v>
      </c>
      <c r="G392" t="s">
        <v>15</v>
      </c>
      <c r="H392" t="s">
        <v>23</v>
      </c>
      <c r="I392" t="s">
        <v>48</v>
      </c>
      <c r="J392">
        <v>1</v>
      </c>
      <c r="K392" t="s">
        <v>26</v>
      </c>
      <c r="L392" t="s">
        <v>27</v>
      </c>
      <c r="M392" t="s">
        <v>49</v>
      </c>
      <c r="N392" t="s">
        <v>20</v>
      </c>
    </row>
    <row r="393" spans="1:14">
      <c r="A393">
        <v>26150</v>
      </c>
      <c r="B393" t="s">
        <v>42</v>
      </c>
      <c r="C393" t="s">
        <v>43</v>
      </c>
      <c r="D393" s="3">
        <v>70000</v>
      </c>
      <c r="E393" s="3" t="s">
        <v>46</v>
      </c>
      <c r="F393">
        <v>0</v>
      </c>
      <c r="G393" t="s">
        <v>15</v>
      </c>
      <c r="H393" t="s">
        <v>23</v>
      </c>
      <c r="I393" t="s">
        <v>48</v>
      </c>
      <c r="J393">
        <v>1</v>
      </c>
      <c r="K393" t="s">
        <v>18</v>
      </c>
      <c r="L393" t="s">
        <v>27</v>
      </c>
      <c r="M393" t="s">
        <v>49</v>
      </c>
      <c r="N393" t="s">
        <v>17</v>
      </c>
    </row>
    <row r="394" spans="1:14">
      <c r="A394">
        <v>24151</v>
      </c>
      <c r="B394" t="s">
        <v>42</v>
      </c>
      <c r="C394" t="s">
        <v>44</v>
      </c>
      <c r="D394" s="3">
        <v>20000</v>
      </c>
      <c r="E394" s="3" t="s">
        <v>45</v>
      </c>
      <c r="F394">
        <v>1</v>
      </c>
      <c r="G394" t="s">
        <v>15</v>
      </c>
      <c r="H394" t="s">
        <v>22</v>
      </c>
      <c r="I394" t="s">
        <v>48</v>
      </c>
      <c r="J394">
        <v>0</v>
      </c>
      <c r="K394" t="s">
        <v>18</v>
      </c>
      <c r="L394" t="s">
        <v>19</v>
      </c>
      <c r="M394" t="s">
        <v>51</v>
      </c>
      <c r="N394" t="s">
        <v>20</v>
      </c>
    </row>
    <row r="395" spans="1:14">
      <c r="A395">
        <v>23962</v>
      </c>
      <c r="B395" t="s">
        <v>41</v>
      </c>
      <c r="C395" t="s">
        <v>43</v>
      </c>
      <c r="D395" s="3">
        <v>10000</v>
      </c>
      <c r="E395" s="3" t="s">
        <v>45</v>
      </c>
      <c r="F395">
        <v>0</v>
      </c>
      <c r="G395" t="s">
        <v>32</v>
      </c>
      <c r="H395" t="s">
        <v>28</v>
      </c>
      <c r="I395" t="s">
        <v>7</v>
      </c>
      <c r="J395">
        <v>2</v>
      </c>
      <c r="K395" t="s">
        <v>29</v>
      </c>
      <c r="L395" t="s">
        <v>19</v>
      </c>
      <c r="M395" t="s">
        <v>52</v>
      </c>
      <c r="N395" t="s">
        <v>20</v>
      </c>
    </row>
    <row r="396" spans="1:14">
      <c r="A396">
        <v>17793</v>
      </c>
      <c r="B396" t="s">
        <v>41</v>
      </c>
      <c r="C396" t="s">
        <v>43</v>
      </c>
      <c r="D396" s="3">
        <v>40000</v>
      </c>
      <c r="E396" s="3" t="s">
        <v>45</v>
      </c>
      <c r="F396">
        <v>0</v>
      </c>
      <c r="G396" t="s">
        <v>15</v>
      </c>
      <c r="H396" t="s">
        <v>22</v>
      </c>
      <c r="I396" t="s">
        <v>7</v>
      </c>
      <c r="J396">
        <v>0</v>
      </c>
      <c r="K396" t="s">
        <v>18</v>
      </c>
      <c r="L396" t="s">
        <v>19</v>
      </c>
      <c r="M396" t="s">
        <v>49</v>
      </c>
      <c r="N396" t="s">
        <v>17</v>
      </c>
    </row>
    <row r="397" spans="1:14">
      <c r="A397">
        <v>14926</v>
      </c>
      <c r="B397" t="s">
        <v>41</v>
      </c>
      <c r="C397" t="s">
        <v>44</v>
      </c>
      <c r="D397" s="3">
        <v>30000</v>
      </c>
      <c r="E397" s="3" t="s">
        <v>45</v>
      </c>
      <c r="F397">
        <v>1</v>
      </c>
      <c r="G397" t="s">
        <v>15</v>
      </c>
      <c r="H397" t="s">
        <v>22</v>
      </c>
      <c r="I397" t="s">
        <v>7</v>
      </c>
      <c r="J397">
        <v>0</v>
      </c>
      <c r="K397" t="s">
        <v>18</v>
      </c>
      <c r="L397" t="s">
        <v>19</v>
      </c>
      <c r="M397" t="s">
        <v>49</v>
      </c>
      <c r="N397" t="s">
        <v>17</v>
      </c>
    </row>
    <row r="398" spans="1:14">
      <c r="A398">
        <v>16163</v>
      </c>
      <c r="B398" t="s">
        <v>42</v>
      </c>
      <c r="C398" t="s">
        <v>44</v>
      </c>
      <c r="D398" s="3">
        <v>60000</v>
      </c>
      <c r="E398" s="3" t="s">
        <v>46</v>
      </c>
      <c r="F398">
        <v>2</v>
      </c>
      <c r="G398" t="s">
        <v>15</v>
      </c>
      <c r="H398" t="s">
        <v>23</v>
      </c>
      <c r="I398" t="s">
        <v>7</v>
      </c>
      <c r="J398">
        <v>1</v>
      </c>
      <c r="K398" t="s">
        <v>24</v>
      </c>
      <c r="L398" t="s">
        <v>27</v>
      </c>
      <c r="M398" t="s">
        <v>49</v>
      </c>
      <c r="N398" t="s">
        <v>17</v>
      </c>
    </row>
    <row r="399" spans="1:14">
      <c r="A399">
        <v>21365</v>
      </c>
      <c r="B399" t="s">
        <v>41</v>
      </c>
      <c r="C399" t="s">
        <v>43</v>
      </c>
      <c r="D399" s="3">
        <v>10000</v>
      </c>
      <c r="E399" s="3" t="s">
        <v>45</v>
      </c>
      <c r="F399">
        <v>2</v>
      </c>
      <c r="G399" t="s">
        <v>32</v>
      </c>
      <c r="H399" t="s">
        <v>22</v>
      </c>
      <c r="I399" t="s">
        <v>7</v>
      </c>
      <c r="J399">
        <v>2</v>
      </c>
      <c r="K399" t="s">
        <v>26</v>
      </c>
      <c r="L399" t="s">
        <v>27</v>
      </c>
      <c r="M399" t="s">
        <v>50</v>
      </c>
      <c r="N399" t="s">
        <v>20</v>
      </c>
    </row>
    <row r="400" spans="1:14">
      <c r="A400">
        <v>27771</v>
      </c>
      <c r="B400" t="s">
        <v>42</v>
      </c>
      <c r="C400" t="s">
        <v>44</v>
      </c>
      <c r="D400" s="3">
        <v>30000</v>
      </c>
      <c r="E400" s="3" t="s">
        <v>45</v>
      </c>
      <c r="F400">
        <v>1</v>
      </c>
      <c r="G400" t="s">
        <v>15</v>
      </c>
      <c r="H400" t="s">
        <v>22</v>
      </c>
      <c r="I400" t="s">
        <v>7</v>
      </c>
      <c r="J400">
        <v>1</v>
      </c>
      <c r="K400" t="s">
        <v>29</v>
      </c>
      <c r="L400" t="s">
        <v>19</v>
      </c>
      <c r="M400" t="s">
        <v>49</v>
      </c>
      <c r="N400" t="s">
        <v>17</v>
      </c>
    </row>
    <row r="401" spans="1:14">
      <c r="A401">
        <v>26167</v>
      </c>
      <c r="B401" t="s">
        <v>42</v>
      </c>
      <c r="C401" t="s">
        <v>43</v>
      </c>
      <c r="D401" s="3">
        <v>40000</v>
      </c>
      <c r="E401" s="3" t="s">
        <v>45</v>
      </c>
      <c r="F401">
        <v>2</v>
      </c>
      <c r="G401" t="s">
        <v>15</v>
      </c>
      <c r="H401" t="s">
        <v>31</v>
      </c>
      <c r="I401" t="s">
        <v>48</v>
      </c>
      <c r="J401">
        <v>1</v>
      </c>
      <c r="K401" t="s">
        <v>26</v>
      </c>
      <c r="L401" t="s">
        <v>27</v>
      </c>
      <c r="M401" t="s">
        <v>51</v>
      </c>
      <c r="N401" t="s">
        <v>17</v>
      </c>
    </row>
    <row r="402" spans="1:14">
      <c r="A402">
        <v>25792</v>
      </c>
      <c r="B402" t="s">
        <v>42</v>
      </c>
      <c r="C402" t="s">
        <v>43</v>
      </c>
      <c r="D402" s="3">
        <v>110000</v>
      </c>
      <c r="E402" s="3" t="s">
        <v>46</v>
      </c>
      <c r="F402">
        <v>3</v>
      </c>
      <c r="G402" t="s">
        <v>15</v>
      </c>
      <c r="H402" t="s">
        <v>31</v>
      </c>
      <c r="I402" t="s">
        <v>7</v>
      </c>
      <c r="J402">
        <v>4</v>
      </c>
      <c r="K402" t="s">
        <v>33</v>
      </c>
      <c r="L402" t="s">
        <v>19</v>
      </c>
      <c r="M402" t="s">
        <v>51</v>
      </c>
      <c r="N402" t="s">
        <v>20</v>
      </c>
    </row>
    <row r="403" spans="1:14">
      <c r="A403">
        <v>11555</v>
      </c>
      <c r="B403" t="s">
        <v>41</v>
      </c>
      <c r="C403" t="s">
        <v>43</v>
      </c>
      <c r="D403" s="3">
        <v>40000</v>
      </c>
      <c r="E403" s="3" t="s">
        <v>45</v>
      </c>
      <c r="F403">
        <v>1</v>
      </c>
      <c r="G403" t="s">
        <v>15</v>
      </c>
      <c r="H403" t="s">
        <v>22</v>
      </c>
      <c r="I403" t="s">
        <v>7</v>
      </c>
      <c r="J403">
        <v>0</v>
      </c>
      <c r="K403" t="s">
        <v>18</v>
      </c>
      <c r="L403" t="s">
        <v>19</v>
      </c>
      <c r="M403" t="s">
        <v>53</v>
      </c>
      <c r="N403" t="s">
        <v>20</v>
      </c>
    </row>
    <row r="404" spans="1:14">
      <c r="A404">
        <v>22381</v>
      </c>
      <c r="B404" t="s">
        <v>41</v>
      </c>
      <c r="C404" t="s">
        <v>44</v>
      </c>
      <c r="D404" s="3">
        <v>10000</v>
      </c>
      <c r="E404" s="3" t="s">
        <v>45</v>
      </c>
      <c r="F404">
        <v>1</v>
      </c>
      <c r="G404" t="s">
        <v>34</v>
      </c>
      <c r="H404" t="s">
        <v>28</v>
      </c>
      <c r="I404" t="s">
        <v>7</v>
      </c>
      <c r="J404">
        <v>0</v>
      </c>
      <c r="K404" t="s">
        <v>18</v>
      </c>
      <c r="L404" t="s">
        <v>19</v>
      </c>
      <c r="M404" t="s">
        <v>49</v>
      </c>
      <c r="N404" t="s">
        <v>20</v>
      </c>
    </row>
    <row r="405" spans="1:14">
      <c r="A405">
        <v>17882</v>
      </c>
      <c r="B405" t="s">
        <v>41</v>
      </c>
      <c r="C405" t="s">
        <v>44</v>
      </c>
      <c r="D405" s="3">
        <v>20000</v>
      </c>
      <c r="E405" s="3" t="s">
        <v>45</v>
      </c>
      <c r="F405">
        <v>1</v>
      </c>
      <c r="G405" t="s">
        <v>34</v>
      </c>
      <c r="H405" t="s">
        <v>22</v>
      </c>
      <c r="I405" t="s">
        <v>7</v>
      </c>
      <c r="J405">
        <v>0</v>
      </c>
      <c r="K405" t="s">
        <v>18</v>
      </c>
      <c r="L405" t="s">
        <v>19</v>
      </c>
      <c r="M405" t="s">
        <v>49</v>
      </c>
      <c r="N405" t="s">
        <v>20</v>
      </c>
    </row>
    <row r="406" spans="1:14">
      <c r="A406">
        <v>22174</v>
      </c>
      <c r="B406" t="s">
        <v>41</v>
      </c>
      <c r="C406" t="s">
        <v>44</v>
      </c>
      <c r="D406" s="3">
        <v>30000</v>
      </c>
      <c r="E406" s="3" t="s">
        <v>45</v>
      </c>
      <c r="F406">
        <v>3</v>
      </c>
      <c r="G406" t="s">
        <v>30</v>
      </c>
      <c r="H406" t="s">
        <v>16</v>
      </c>
      <c r="I406" t="s">
        <v>7</v>
      </c>
      <c r="J406">
        <v>2</v>
      </c>
      <c r="K406" t="s">
        <v>26</v>
      </c>
      <c r="L406" t="s">
        <v>27</v>
      </c>
      <c r="M406" t="s">
        <v>51</v>
      </c>
      <c r="N406" t="s">
        <v>17</v>
      </c>
    </row>
    <row r="407" spans="1:14">
      <c r="A407">
        <v>22439</v>
      </c>
      <c r="B407" t="s">
        <v>41</v>
      </c>
      <c r="C407" t="s">
        <v>43</v>
      </c>
      <c r="D407" s="3">
        <v>30000</v>
      </c>
      <c r="E407" s="3" t="s">
        <v>45</v>
      </c>
      <c r="F407">
        <v>0</v>
      </c>
      <c r="G407" t="s">
        <v>15</v>
      </c>
      <c r="H407" t="s">
        <v>22</v>
      </c>
      <c r="I407" t="s">
        <v>7</v>
      </c>
      <c r="J407">
        <v>0</v>
      </c>
      <c r="K407" t="s">
        <v>18</v>
      </c>
      <c r="L407" t="s">
        <v>19</v>
      </c>
      <c r="M407" t="s">
        <v>49</v>
      </c>
      <c r="N407" t="s">
        <v>17</v>
      </c>
    </row>
    <row r="408" spans="1:14">
      <c r="A408">
        <v>18012</v>
      </c>
      <c r="B408" t="s">
        <v>41</v>
      </c>
      <c r="C408" t="s">
        <v>43</v>
      </c>
      <c r="D408" s="3">
        <v>40000</v>
      </c>
      <c r="E408" s="3" t="s">
        <v>45</v>
      </c>
      <c r="F408">
        <v>1</v>
      </c>
      <c r="G408" t="s">
        <v>15</v>
      </c>
      <c r="H408" t="s">
        <v>16</v>
      </c>
      <c r="I408" t="s">
        <v>7</v>
      </c>
      <c r="J408">
        <v>0</v>
      </c>
      <c r="K408" t="s">
        <v>18</v>
      </c>
      <c r="L408" t="s">
        <v>19</v>
      </c>
      <c r="M408" t="s">
        <v>49</v>
      </c>
      <c r="N408" t="s">
        <v>20</v>
      </c>
    </row>
    <row r="409" spans="1:14">
      <c r="A409">
        <v>27582</v>
      </c>
      <c r="B409" t="s">
        <v>42</v>
      </c>
      <c r="C409" t="s">
        <v>43</v>
      </c>
      <c r="D409" s="3">
        <v>90000</v>
      </c>
      <c r="E409" s="3" t="s">
        <v>46</v>
      </c>
      <c r="F409">
        <v>2</v>
      </c>
      <c r="G409" t="s">
        <v>15</v>
      </c>
      <c r="H409" t="s">
        <v>23</v>
      </c>
      <c r="I409" t="s">
        <v>48</v>
      </c>
      <c r="J409">
        <v>0</v>
      </c>
      <c r="K409" t="s">
        <v>18</v>
      </c>
      <c r="L409" t="s">
        <v>27</v>
      </c>
      <c r="M409" t="s">
        <v>49</v>
      </c>
      <c r="N409" t="s">
        <v>17</v>
      </c>
    </row>
    <row r="410" spans="1:14">
      <c r="A410">
        <v>12744</v>
      </c>
      <c r="B410" t="s">
        <v>42</v>
      </c>
      <c r="C410" t="s">
        <v>43</v>
      </c>
      <c r="D410" s="3">
        <v>40000</v>
      </c>
      <c r="E410" s="3" t="s">
        <v>45</v>
      </c>
      <c r="F410">
        <v>2</v>
      </c>
      <c r="G410" t="s">
        <v>21</v>
      </c>
      <c r="H410" t="s">
        <v>22</v>
      </c>
      <c r="I410" t="s">
        <v>7</v>
      </c>
      <c r="J410">
        <v>0</v>
      </c>
      <c r="K410" t="s">
        <v>18</v>
      </c>
      <c r="L410" t="s">
        <v>19</v>
      </c>
      <c r="M410" t="s">
        <v>52</v>
      </c>
      <c r="N410" t="s">
        <v>20</v>
      </c>
    </row>
    <row r="411" spans="1:14">
      <c r="A411">
        <v>22821</v>
      </c>
      <c r="B411" t="s">
        <v>41</v>
      </c>
      <c r="C411" t="s">
        <v>43</v>
      </c>
      <c r="D411" s="3">
        <v>130000</v>
      </c>
      <c r="E411" s="3" t="s">
        <v>47</v>
      </c>
      <c r="F411">
        <v>3</v>
      </c>
      <c r="G411" t="s">
        <v>21</v>
      </c>
      <c r="H411" t="s">
        <v>23</v>
      </c>
      <c r="I411" t="s">
        <v>7</v>
      </c>
      <c r="J411">
        <v>4</v>
      </c>
      <c r="K411" t="s">
        <v>18</v>
      </c>
      <c r="L411" t="s">
        <v>19</v>
      </c>
      <c r="M411" t="s">
        <v>51</v>
      </c>
      <c r="N411" t="s">
        <v>20</v>
      </c>
    </row>
    <row r="412" spans="1:14">
      <c r="A412">
        <v>20171</v>
      </c>
      <c r="B412" t="s">
        <v>41</v>
      </c>
      <c r="C412" t="s">
        <v>43</v>
      </c>
      <c r="D412" s="3">
        <v>20000</v>
      </c>
      <c r="E412" s="3" t="s">
        <v>45</v>
      </c>
      <c r="F412">
        <v>2</v>
      </c>
      <c r="G412" t="s">
        <v>21</v>
      </c>
      <c r="H412" t="s">
        <v>28</v>
      </c>
      <c r="I412" t="s">
        <v>7</v>
      </c>
      <c r="J412">
        <v>1</v>
      </c>
      <c r="K412" t="s">
        <v>18</v>
      </c>
      <c r="L412" t="s">
        <v>19</v>
      </c>
      <c r="M412" t="s">
        <v>51</v>
      </c>
      <c r="N412" t="s">
        <v>17</v>
      </c>
    </row>
    <row r="413" spans="1:14">
      <c r="A413">
        <v>11116</v>
      </c>
      <c r="B413" t="s">
        <v>41</v>
      </c>
      <c r="C413" t="s">
        <v>44</v>
      </c>
      <c r="D413" s="3">
        <v>70000</v>
      </c>
      <c r="E413" s="3" t="s">
        <v>46</v>
      </c>
      <c r="F413">
        <v>5</v>
      </c>
      <c r="G413" t="s">
        <v>21</v>
      </c>
      <c r="H413" t="s">
        <v>16</v>
      </c>
      <c r="I413" t="s">
        <v>7</v>
      </c>
      <c r="J413">
        <v>2</v>
      </c>
      <c r="K413" t="s">
        <v>26</v>
      </c>
      <c r="L413" t="s">
        <v>27</v>
      </c>
      <c r="M413" t="s">
        <v>49</v>
      </c>
      <c r="N413" t="s">
        <v>20</v>
      </c>
    </row>
    <row r="414" spans="1:14">
      <c r="A414">
        <v>20053</v>
      </c>
      <c r="B414" t="s">
        <v>42</v>
      </c>
      <c r="C414" t="s">
        <v>44</v>
      </c>
      <c r="D414" s="3">
        <v>40000</v>
      </c>
      <c r="E414" s="3" t="s">
        <v>45</v>
      </c>
      <c r="F414">
        <v>2</v>
      </c>
      <c r="G414" t="s">
        <v>21</v>
      </c>
      <c r="H414" t="s">
        <v>22</v>
      </c>
      <c r="I414" t="s">
        <v>7</v>
      </c>
      <c r="J414">
        <v>0</v>
      </c>
      <c r="K414" t="s">
        <v>18</v>
      </c>
      <c r="L414" t="s">
        <v>19</v>
      </c>
      <c r="M414" t="s">
        <v>52</v>
      </c>
      <c r="N414" t="s">
        <v>20</v>
      </c>
    </row>
    <row r="415" spans="1:14">
      <c r="A415">
        <v>25266</v>
      </c>
      <c r="B415" t="s">
        <v>42</v>
      </c>
      <c r="C415" t="s">
        <v>43</v>
      </c>
      <c r="D415" s="3">
        <v>30000</v>
      </c>
      <c r="E415" s="3" t="s">
        <v>45</v>
      </c>
      <c r="F415">
        <v>2</v>
      </c>
      <c r="G415" t="s">
        <v>21</v>
      </c>
      <c r="H415" t="s">
        <v>22</v>
      </c>
      <c r="I415" t="s">
        <v>48</v>
      </c>
      <c r="J415">
        <v>2</v>
      </c>
      <c r="K415" t="s">
        <v>26</v>
      </c>
      <c r="L415" t="s">
        <v>27</v>
      </c>
      <c r="M415" t="s">
        <v>53</v>
      </c>
      <c r="N415" t="s">
        <v>20</v>
      </c>
    </row>
    <row r="416" spans="1:14">
      <c r="A416">
        <v>17960</v>
      </c>
      <c r="B416" t="s">
        <v>41</v>
      </c>
      <c r="C416" t="s">
        <v>43</v>
      </c>
      <c r="D416" s="3">
        <v>40000</v>
      </c>
      <c r="E416" s="3" t="s">
        <v>45</v>
      </c>
      <c r="F416">
        <v>0</v>
      </c>
      <c r="G416" t="s">
        <v>34</v>
      </c>
      <c r="H416" t="s">
        <v>22</v>
      </c>
      <c r="I416" t="s">
        <v>7</v>
      </c>
      <c r="J416">
        <v>0</v>
      </c>
      <c r="K416" t="s">
        <v>18</v>
      </c>
      <c r="L416" t="s">
        <v>19</v>
      </c>
      <c r="M416" t="s">
        <v>49</v>
      </c>
      <c r="N416" t="s">
        <v>17</v>
      </c>
    </row>
    <row r="417" spans="1:14">
      <c r="A417">
        <v>13961</v>
      </c>
      <c r="B417" t="s">
        <v>41</v>
      </c>
      <c r="C417" t="s">
        <v>43</v>
      </c>
      <c r="D417" s="3">
        <v>80000</v>
      </c>
      <c r="E417" s="3" t="s">
        <v>46</v>
      </c>
      <c r="F417">
        <v>5</v>
      </c>
      <c r="G417" t="s">
        <v>34</v>
      </c>
      <c r="H417" t="s">
        <v>31</v>
      </c>
      <c r="I417" t="s">
        <v>7</v>
      </c>
      <c r="J417">
        <v>3</v>
      </c>
      <c r="K417" t="s">
        <v>18</v>
      </c>
      <c r="L417" t="s">
        <v>27</v>
      </c>
      <c r="M417" t="s">
        <v>49</v>
      </c>
      <c r="N417" t="s">
        <v>20</v>
      </c>
    </row>
    <row r="418" spans="1:14">
      <c r="A418">
        <v>11897</v>
      </c>
      <c r="B418" t="s">
        <v>42</v>
      </c>
      <c r="C418" t="s">
        <v>44</v>
      </c>
      <c r="D418" s="3">
        <v>60000</v>
      </c>
      <c r="E418" s="3" t="s">
        <v>46</v>
      </c>
      <c r="F418">
        <v>2</v>
      </c>
      <c r="G418" t="s">
        <v>15</v>
      </c>
      <c r="H418" t="s">
        <v>23</v>
      </c>
      <c r="I418" t="s">
        <v>48</v>
      </c>
      <c r="J418">
        <v>1</v>
      </c>
      <c r="K418" t="s">
        <v>18</v>
      </c>
      <c r="L418" t="s">
        <v>27</v>
      </c>
      <c r="M418" t="s">
        <v>49</v>
      </c>
      <c r="N418" t="s">
        <v>17</v>
      </c>
    </row>
    <row r="419" spans="1:14">
      <c r="A419">
        <v>11139</v>
      </c>
      <c r="B419" t="s">
        <v>42</v>
      </c>
      <c r="C419" t="s">
        <v>43</v>
      </c>
      <c r="D419" s="3">
        <v>30000</v>
      </c>
      <c r="E419" s="3" t="s">
        <v>45</v>
      </c>
      <c r="F419">
        <v>2</v>
      </c>
      <c r="G419" t="s">
        <v>21</v>
      </c>
      <c r="H419" t="s">
        <v>22</v>
      </c>
      <c r="I419" t="s">
        <v>48</v>
      </c>
      <c r="J419">
        <v>2</v>
      </c>
      <c r="K419" t="s">
        <v>26</v>
      </c>
      <c r="L419" t="s">
        <v>27</v>
      </c>
      <c r="M419" t="s">
        <v>53</v>
      </c>
      <c r="N419" t="s">
        <v>20</v>
      </c>
    </row>
    <row r="420" spans="1:14">
      <c r="A420">
        <v>11576</v>
      </c>
      <c r="B420" t="s">
        <v>41</v>
      </c>
      <c r="C420" t="s">
        <v>44</v>
      </c>
      <c r="D420" s="3">
        <v>30000</v>
      </c>
      <c r="E420" s="3" t="s">
        <v>45</v>
      </c>
      <c r="F420">
        <v>1</v>
      </c>
      <c r="G420" t="s">
        <v>15</v>
      </c>
      <c r="H420" t="s">
        <v>16</v>
      </c>
      <c r="I420" t="s">
        <v>7</v>
      </c>
      <c r="J420">
        <v>2</v>
      </c>
      <c r="K420" t="s">
        <v>18</v>
      </c>
      <c r="L420" t="s">
        <v>19</v>
      </c>
      <c r="M420" t="s">
        <v>49</v>
      </c>
      <c r="N420" t="s">
        <v>17</v>
      </c>
    </row>
    <row r="421" spans="1:14">
      <c r="A421">
        <v>19255</v>
      </c>
      <c r="B421" t="s">
        <v>42</v>
      </c>
      <c r="C421" t="s">
        <v>44</v>
      </c>
      <c r="D421" s="3">
        <v>10000</v>
      </c>
      <c r="E421" s="3" t="s">
        <v>45</v>
      </c>
      <c r="F421">
        <v>2</v>
      </c>
      <c r="G421" t="s">
        <v>21</v>
      </c>
      <c r="H421" t="s">
        <v>28</v>
      </c>
      <c r="I421" t="s">
        <v>7</v>
      </c>
      <c r="J421">
        <v>1</v>
      </c>
      <c r="K421" t="s">
        <v>18</v>
      </c>
      <c r="L421" t="s">
        <v>19</v>
      </c>
      <c r="M421" t="s">
        <v>51</v>
      </c>
      <c r="N421" t="s">
        <v>17</v>
      </c>
    </row>
    <row r="422" spans="1:14">
      <c r="A422">
        <v>18153</v>
      </c>
      <c r="B422" t="s">
        <v>41</v>
      </c>
      <c r="C422" t="s">
        <v>43</v>
      </c>
      <c r="D422" s="3">
        <v>100000</v>
      </c>
      <c r="E422" s="3" t="s">
        <v>46</v>
      </c>
      <c r="F422">
        <v>2</v>
      </c>
      <c r="G422" t="s">
        <v>15</v>
      </c>
      <c r="H422" t="s">
        <v>31</v>
      </c>
      <c r="I422" t="s">
        <v>7</v>
      </c>
      <c r="J422">
        <v>4</v>
      </c>
      <c r="K422" t="s">
        <v>33</v>
      </c>
      <c r="L422" t="s">
        <v>19</v>
      </c>
      <c r="M422" t="s">
        <v>50</v>
      </c>
      <c r="N422" t="s">
        <v>20</v>
      </c>
    </row>
    <row r="423" spans="1:14">
      <c r="A423">
        <v>14547</v>
      </c>
      <c r="B423" t="s">
        <v>41</v>
      </c>
      <c r="C423" t="s">
        <v>44</v>
      </c>
      <c r="D423" s="3">
        <v>10000</v>
      </c>
      <c r="E423" s="3" t="s">
        <v>45</v>
      </c>
      <c r="F423">
        <v>2</v>
      </c>
      <c r="G423" t="s">
        <v>21</v>
      </c>
      <c r="H423" t="s">
        <v>28</v>
      </c>
      <c r="I423" t="s">
        <v>7</v>
      </c>
      <c r="J423">
        <v>0</v>
      </c>
      <c r="K423" t="s">
        <v>29</v>
      </c>
      <c r="L423" t="s">
        <v>19</v>
      </c>
      <c r="M423" t="s">
        <v>51</v>
      </c>
      <c r="N423" t="s">
        <v>20</v>
      </c>
    </row>
    <row r="424" spans="1:14">
      <c r="A424">
        <v>24901</v>
      </c>
      <c r="B424" t="s">
        <v>42</v>
      </c>
      <c r="C424" t="s">
        <v>44</v>
      </c>
      <c r="D424" s="3">
        <v>110000</v>
      </c>
      <c r="E424" s="3" t="s">
        <v>46</v>
      </c>
      <c r="F424">
        <v>0</v>
      </c>
      <c r="G424" t="s">
        <v>21</v>
      </c>
      <c r="H424" t="s">
        <v>31</v>
      </c>
      <c r="I424" t="s">
        <v>48</v>
      </c>
      <c r="J424">
        <v>3</v>
      </c>
      <c r="K424" t="s">
        <v>33</v>
      </c>
      <c r="L424" t="s">
        <v>27</v>
      </c>
      <c r="M424" t="s">
        <v>52</v>
      </c>
      <c r="N424" t="s">
        <v>17</v>
      </c>
    </row>
    <row r="425" spans="1:14">
      <c r="A425">
        <v>27169</v>
      </c>
      <c r="B425" t="s">
        <v>42</v>
      </c>
      <c r="C425" t="s">
        <v>44</v>
      </c>
      <c r="D425" s="3">
        <v>30000</v>
      </c>
      <c r="E425" s="3" t="s">
        <v>45</v>
      </c>
      <c r="F425">
        <v>0</v>
      </c>
      <c r="G425" t="s">
        <v>30</v>
      </c>
      <c r="H425" t="s">
        <v>28</v>
      </c>
      <c r="I425" t="s">
        <v>7</v>
      </c>
      <c r="J425">
        <v>1</v>
      </c>
      <c r="K425" t="s">
        <v>24</v>
      </c>
      <c r="L425" t="s">
        <v>19</v>
      </c>
      <c r="M425" t="s">
        <v>52</v>
      </c>
      <c r="N425" t="s">
        <v>17</v>
      </c>
    </row>
    <row r="426" spans="1:14">
      <c r="A426">
        <v>14805</v>
      </c>
      <c r="B426" t="s">
        <v>42</v>
      </c>
      <c r="C426" t="s">
        <v>43</v>
      </c>
      <c r="D426" s="3">
        <v>10000</v>
      </c>
      <c r="E426" s="3" t="s">
        <v>45</v>
      </c>
      <c r="F426">
        <v>3</v>
      </c>
      <c r="G426" t="s">
        <v>32</v>
      </c>
      <c r="H426" t="s">
        <v>28</v>
      </c>
      <c r="I426" t="s">
        <v>7</v>
      </c>
      <c r="J426">
        <v>2</v>
      </c>
      <c r="K426" t="s">
        <v>18</v>
      </c>
      <c r="L426" t="s">
        <v>19</v>
      </c>
      <c r="M426" t="s">
        <v>49</v>
      </c>
      <c r="N426" t="s">
        <v>20</v>
      </c>
    </row>
    <row r="427" spans="1:14">
      <c r="A427">
        <v>15822</v>
      </c>
      <c r="B427" t="s">
        <v>41</v>
      </c>
      <c r="C427" t="s">
        <v>44</v>
      </c>
      <c r="D427" s="3">
        <v>40000</v>
      </c>
      <c r="E427" s="3" t="s">
        <v>45</v>
      </c>
      <c r="F427">
        <v>2</v>
      </c>
      <c r="G427" t="s">
        <v>15</v>
      </c>
      <c r="H427" t="s">
        <v>31</v>
      </c>
      <c r="I427" t="s">
        <v>7</v>
      </c>
      <c r="J427">
        <v>2</v>
      </c>
      <c r="K427" t="s">
        <v>18</v>
      </c>
      <c r="L427" t="s">
        <v>27</v>
      </c>
      <c r="M427" t="s">
        <v>53</v>
      </c>
      <c r="N427" t="s">
        <v>20</v>
      </c>
    </row>
    <row r="428" spans="1:14">
      <c r="A428">
        <v>19389</v>
      </c>
      <c r="B428" t="s">
        <v>42</v>
      </c>
      <c r="C428" t="s">
        <v>44</v>
      </c>
      <c r="D428" s="3">
        <v>30000</v>
      </c>
      <c r="E428" s="3" t="s">
        <v>45</v>
      </c>
      <c r="F428">
        <v>0</v>
      </c>
      <c r="G428" t="s">
        <v>21</v>
      </c>
      <c r="H428" t="s">
        <v>22</v>
      </c>
      <c r="I428" t="s">
        <v>48</v>
      </c>
      <c r="J428">
        <v>1</v>
      </c>
      <c r="K428" t="s">
        <v>24</v>
      </c>
      <c r="L428" t="s">
        <v>19</v>
      </c>
      <c r="M428" t="s">
        <v>52</v>
      </c>
      <c r="N428" t="s">
        <v>20</v>
      </c>
    </row>
    <row r="429" spans="1:14">
      <c r="A429">
        <v>17048</v>
      </c>
      <c r="B429" t="s">
        <v>42</v>
      </c>
      <c r="C429" t="s">
        <v>43</v>
      </c>
      <c r="D429" s="3">
        <v>90000</v>
      </c>
      <c r="E429" s="3" t="s">
        <v>46</v>
      </c>
      <c r="F429">
        <v>1</v>
      </c>
      <c r="G429" t="s">
        <v>34</v>
      </c>
      <c r="H429" t="s">
        <v>31</v>
      </c>
      <c r="I429" t="s">
        <v>7</v>
      </c>
      <c r="J429">
        <v>0</v>
      </c>
      <c r="K429" t="s">
        <v>18</v>
      </c>
      <c r="L429" t="s">
        <v>27</v>
      </c>
      <c r="M429" t="s">
        <v>49</v>
      </c>
      <c r="N429" t="s">
        <v>17</v>
      </c>
    </row>
    <row r="430" spans="1:14">
      <c r="A430">
        <v>22204</v>
      </c>
      <c r="B430" t="s">
        <v>41</v>
      </c>
      <c r="C430" t="s">
        <v>44</v>
      </c>
      <c r="D430" s="3">
        <v>110000</v>
      </c>
      <c r="E430" s="3" t="s">
        <v>46</v>
      </c>
      <c r="F430">
        <v>4</v>
      </c>
      <c r="G430" t="s">
        <v>15</v>
      </c>
      <c r="H430" t="s">
        <v>31</v>
      </c>
      <c r="I430" t="s">
        <v>7</v>
      </c>
      <c r="J430">
        <v>3</v>
      </c>
      <c r="K430" t="s">
        <v>24</v>
      </c>
      <c r="L430" t="s">
        <v>27</v>
      </c>
      <c r="M430" t="s">
        <v>51</v>
      </c>
      <c r="N430" t="s">
        <v>20</v>
      </c>
    </row>
    <row r="431" spans="1:14">
      <c r="A431">
        <v>12718</v>
      </c>
      <c r="B431" t="s">
        <v>42</v>
      </c>
      <c r="C431" t="s">
        <v>43</v>
      </c>
      <c r="D431" s="3">
        <v>30000</v>
      </c>
      <c r="E431" s="3" t="s">
        <v>45</v>
      </c>
      <c r="F431">
        <v>0</v>
      </c>
      <c r="G431" t="s">
        <v>21</v>
      </c>
      <c r="H431" t="s">
        <v>22</v>
      </c>
      <c r="I431" t="s">
        <v>7</v>
      </c>
      <c r="J431">
        <v>1</v>
      </c>
      <c r="K431" t="s">
        <v>24</v>
      </c>
      <c r="L431" t="s">
        <v>19</v>
      </c>
      <c r="M431" t="s">
        <v>52</v>
      </c>
      <c r="N431" t="s">
        <v>20</v>
      </c>
    </row>
    <row r="432" spans="1:14">
      <c r="A432">
        <v>15019</v>
      </c>
      <c r="B432" t="s">
        <v>42</v>
      </c>
      <c r="C432" t="s">
        <v>43</v>
      </c>
      <c r="D432" s="3">
        <v>30000</v>
      </c>
      <c r="E432" s="3" t="s">
        <v>45</v>
      </c>
      <c r="F432">
        <v>3</v>
      </c>
      <c r="G432" t="s">
        <v>30</v>
      </c>
      <c r="H432" t="s">
        <v>16</v>
      </c>
      <c r="I432" t="s">
        <v>7</v>
      </c>
      <c r="J432">
        <v>2</v>
      </c>
      <c r="K432" t="s">
        <v>26</v>
      </c>
      <c r="L432" t="s">
        <v>27</v>
      </c>
      <c r="M432" t="s">
        <v>50</v>
      </c>
      <c r="N432" t="s">
        <v>20</v>
      </c>
    </row>
    <row r="433" spans="1:14">
      <c r="A433">
        <v>28488</v>
      </c>
      <c r="B433" t="s">
        <v>42</v>
      </c>
      <c r="C433" t="s">
        <v>44</v>
      </c>
      <c r="D433" s="3">
        <v>20000</v>
      </c>
      <c r="E433" s="3" t="s">
        <v>45</v>
      </c>
      <c r="F433">
        <v>0</v>
      </c>
      <c r="G433" t="s">
        <v>21</v>
      </c>
      <c r="H433" t="s">
        <v>28</v>
      </c>
      <c r="I433" t="s">
        <v>7</v>
      </c>
      <c r="J433">
        <v>0</v>
      </c>
      <c r="K433" t="s">
        <v>18</v>
      </c>
      <c r="L433" t="s">
        <v>27</v>
      </c>
      <c r="M433" t="s">
        <v>52</v>
      </c>
      <c r="N433" t="s">
        <v>17</v>
      </c>
    </row>
    <row r="434" spans="1:14">
      <c r="A434">
        <v>21891</v>
      </c>
      <c r="B434" t="s">
        <v>41</v>
      </c>
      <c r="C434" t="s">
        <v>43</v>
      </c>
      <c r="D434" s="3">
        <v>110000</v>
      </c>
      <c r="E434" s="3" t="s">
        <v>46</v>
      </c>
      <c r="F434">
        <v>0</v>
      </c>
      <c r="G434" t="s">
        <v>30</v>
      </c>
      <c r="H434" t="s">
        <v>31</v>
      </c>
      <c r="I434" t="s">
        <v>7</v>
      </c>
      <c r="J434">
        <v>3</v>
      </c>
      <c r="K434" t="s">
        <v>33</v>
      </c>
      <c r="L434" t="s">
        <v>27</v>
      </c>
      <c r="M434" t="s">
        <v>52</v>
      </c>
      <c r="N434" t="s">
        <v>17</v>
      </c>
    </row>
    <row r="435" spans="1:14">
      <c r="A435">
        <v>27814</v>
      </c>
      <c r="B435" t="s">
        <v>42</v>
      </c>
      <c r="C435" t="s">
        <v>43</v>
      </c>
      <c r="D435" s="3">
        <v>30000</v>
      </c>
      <c r="E435" s="3" t="s">
        <v>45</v>
      </c>
      <c r="F435">
        <v>3</v>
      </c>
      <c r="G435" t="s">
        <v>21</v>
      </c>
      <c r="H435" t="s">
        <v>22</v>
      </c>
      <c r="I435" t="s">
        <v>48</v>
      </c>
      <c r="J435">
        <v>1</v>
      </c>
      <c r="K435" t="s">
        <v>18</v>
      </c>
      <c r="L435" t="s">
        <v>19</v>
      </c>
      <c r="M435" t="s">
        <v>52</v>
      </c>
      <c r="N435" t="s">
        <v>20</v>
      </c>
    </row>
    <row r="436" spans="1:14">
      <c r="A436">
        <v>22175</v>
      </c>
      <c r="B436" t="s">
        <v>41</v>
      </c>
      <c r="C436" t="s">
        <v>43</v>
      </c>
      <c r="D436" s="3">
        <v>30000</v>
      </c>
      <c r="E436" s="3" t="s">
        <v>45</v>
      </c>
      <c r="F436">
        <v>3</v>
      </c>
      <c r="G436" t="s">
        <v>30</v>
      </c>
      <c r="H436" t="s">
        <v>16</v>
      </c>
      <c r="I436" t="s">
        <v>7</v>
      </c>
      <c r="J436">
        <v>2</v>
      </c>
      <c r="K436" t="s">
        <v>26</v>
      </c>
      <c r="L436" t="s">
        <v>27</v>
      </c>
      <c r="M436" t="s">
        <v>51</v>
      </c>
      <c r="N436" t="s">
        <v>17</v>
      </c>
    </row>
    <row r="437" spans="1:14">
      <c r="A437">
        <v>29447</v>
      </c>
      <c r="B437" t="s">
        <v>42</v>
      </c>
      <c r="C437" t="s">
        <v>43</v>
      </c>
      <c r="D437" s="3">
        <v>10000</v>
      </c>
      <c r="E437" s="3" t="s">
        <v>45</v>
      </c>
      <c r="F437">
        <v>2</v>
      </c>
      <c r="G437" t="s">
        <v>15</v>
      </c>
      <c r="H437" t="s">
        <v>22</v>
      </c>
      <c r="I437" t="s">
        <v>48</v>
      </c>
      <c r="J437">
        <v>1</v>
      </c>
      <c r="K437" t="s">
        <v>24</v>
      </c>
      <c r="L437" t="s">
        <v>19</v>
      </c>
      <c r="M437" t="s">
        <v>53</v>
      </c>
      <c r="N437" t="s">
        <v>20</v>
      </c>
    </row>
    <row r="438" spans="1:14">
      <c r="A438">
        <v>19784</v>
      </c>
      <c r="B438" t="s">
        <v>41</v>
      </c>
      <c r="C438" t="s">
        <v>43</v>
      </c>
      <c r="D438" s="3">
        <v>80000</v>
      </c>
      <c r="E438" s="3" t="s">
        <v>46</v>
      </c>
      <c r="F438">
        <v>2</v>
      </c>
      <c r="G438" t="s">
        <v>30</v>
      </c>
      <c r="H438" t="s">
        <v>16</v>
      </c>
      <c r="I438" t="s">
        <v>7</v>
      </c>
      <c r="J438">
        <v>2</v>
      </c>
      <c r="K438" t="s">
        <v>26</v>
      </c>
      <c r="L438" t="s">
        <v>27</v>
      </c>
      <c r="M438" t="s">
        <v>51</v>
      </c>
      <c r="N438" t="s">
        <v>17</v>
      </c>
    </row>
    <row r="439" spans="1:14">
      <c r="A439">
        <v>27824</v>
      </c>
      <c r="B439" t="s">
        <v>42</v>
      </c>
      <c r="C439" t="s">
        <v>43</v>
      </c>
      <c r="D439" s="3">
        <v>30000</v>
      </c>
      <c r="E439" s="3" t="s">
        <v>45</v>
      </c>
      <c r="F439">
        <v>3</v>
      </c>
      <c r="G439" t="s">
        <v>21</v>
      </c>
      <c r="H439" t="s">
        <v>22</v>
      </c>
      <c r="I439" t="s">
        <v>7</v>
      </c>
      <c r="J439">
        <v>2</v>
      </c>
      <c r="K439" t="s">
        <v>18</v>
      </c>
      <c r="L439" t="s">
        <v>19</v>
      </c>
      <c r="M439" t="s">
        <v>52</v>
      </c>
      <c r="N439" t="s">
        <v>17</v>
      </c>
    </row>
    <row r="440" spans="1:14">
      <c r="A440">
        <v>24093</v>
      </c>
      <c r="B440" t="s">
        <v>42</v>
      </c>
      <c r="C440" t="s">
        <v>43</v>
      </c>
      <c r="D440" s="3">
        <v>80000</v>
      </c>
      <c r="E440" s="3" t="s">
        <v>46</v>
      </c>
      <c r="F440">
        <v>0</v>
      </c>
      <c r="G440" t="s">
        <v>34</v>
      </c>
      <c r="H440" t="s">
        <v>16</v>
      </c>
      <c r="I440" t="s">
        <v>48</v>
      </c>
      <c r="J440">
        <v>0</v>
      </c>
      <c r="K440" t="s">
        <v>18</v>
      </c>
      <c r="L440" t="s">
        <v>19</v>
      </c>
      <c r="M440" t="s">
        <v>49</v>
      </c>
      <c r="N440" t="s">
        <v>17</v>
      </c>
    </row>
    <row r="441" spans="1:14">
      <c r="A441">
        <v>19618</v>
      </c>
      <c r="B441" t="s">
        <v>41</v>
      </c>
      <c r="C441" t="s">
        <v>44</v>
      </c>
      <c r="D441" s="3">
        <v>70000</v>
      </c>
      <c r="E441" s="3" t="s">
        <v>46</v>
      </c>
      <c r="F441">
        <v>5</v>
      </c>
      <c r="G441" t="s">
        <v>21</v>
      </c>
      <c r="H441" t="s">
        <v>16</v>
      </c>
      <c r="I441" t="s">
        <v>7</v>
      </c>
      <c r="J441">
        <v>2</v>
      </c>
      <c r="K441" t="s">
        <v>18</v>
      </c>
      <c r="L441" t="s">
        <v>27</v>
      </c>
      <c r="M441" t="s">
        <v>49</v>
      </c>
      <c r="N441" t="s">
        <v>20</v>
      </c>
    </row>
    <row r="442" spans="1:14">
      <c r="A442">
        <v>21561</v>
      </c>
      <c r="B442" t="s">
        <v>42</v>
      </c>
      <c r="C442" t="s">
        <v>44</v>
      </c>
      <c r="D442" s="3">
        <v>90000</v>
      </c>
      <c r="E442" s="3" t="s">
        <v>46</v>
      </c>
      <c r="F442">
        <v>0</v>
      </c>
      <c r="G442" t="s">
        <v>15</v>
      </c>
      <c r="H442" t="s">
        <v>23</v>
      </c>
      <c r="I442" t="s">
        <v>48</v>
      </c>
      <c r="J442">
        <v>3</v>
      </c>
      <c r="K442" t="s">
        <v>33</v>
      </c>
      <c r="L442" t="s">
        <v>27</v>
      </c>
      <c r="M442" t="s">
        <v>52</v>
      </c>
      <c r="N442" t="s">
        <v>17</v>
      </c>
    </row>
    <row r="443" spans="1:14">
      <c r="A443">
        <v>11061</v>
      </c>
      <c r="B443" t="s">
        <v>41</v>
      </c>
      <c r="C443" t="s">
        <v>44</v>
      </c>
      <c r="D443" s="3">
        <v>70000</v>
      </c>
      <c r="E443" s="3" t="s">
        <v>46</v>
      </c>
      <c r="F443">
        <v>2</v>
      </c>
      <c r="G443" t="s">
        <v>21</v>
      </c>
      <c r="H443" t="s">
        <v>16</v>
      </c>
      <c r="I443" t="s">
        <v>7</v>
      </c>
      <c r="J443">
        <v>2</v>
      </c>
      <c r="K443" t="s">
        <v>26</v>
      </c>
      <c r="L443" t="s">
        <v>27</v>
      </c>
      <c r="M443" t="s">
        <v>51</v>
      </c>
      <c r="N443" t="s">
        <v>17</v>
      </c>
    </row>
    <row r="444" spans="1:14">
      <c r="A444">
        <v>26651</v>
      </c>
      <c r="B444" t="s">
        <v>42</v>
      </c>
      <c r="C444" t="s">
        <v>44</v>
      </c>
      <c r="D444" s="3">
        <v>80000</v>
      </c>
      <c r="E444" s="3" t="s">
        <v>46</v>
      </c>
      <c r="F444">
        <v>4</v>
      </c>
      <c r="G444" t="s">
        <v>34</v>
      </c>
      <c r="H444" t="s">
        <v>31</v>
      </c>
      <c r="I444" t="s">
        <v>7</v>
      </c>
      <c r="J444">
        <v>0</v>
      </c>
      <c r="K444" t="s">
        <v>18</v>
      </c>
      <c r="L444" t="s">
        <v>27</v>
      </c>
      <c r="M444" t="s">
        <v>49</v>
      </c>
      <c r="N444" t="s">
        <v>17</v>
      </c>
    </row>
    <row r="445" spans="1:14">
      <c r="A445">
        <v>21108</v>
      </c>
      <c r="B445" t="s">
        <v>41</v>
      </c>
      <c r="C445" t="s">
        <v>43</v>
      </c>
      <c r="D445" s="3">
        <v>40000</v>
      </c>
      <c r="E445" s="3" t="s">
        <v>45</v>
      </c>
      <c r="F445">
        <v>1</v>
      </c>
      <c r="G445" t="s">
        <v>15</v>
      </c>
      <c r="H445" t="s">
        <v>16</v>
      </c>
      <c r="I445" t="s">
        <v>7</v>
      </c>
      <c r="J445">
        <v>1</v>
      </c>
      <c r="K445" t="s">
        <v>18</v>
      </c>
      <c r="L445" t="s">
        <v>19</v>
      </c>
      <c r="M445" t="s">
        <v>49</v>
      </c>
      <c r="N445" t="s">
        <v>17</v>
      </c>
    </row>
    <row r="446" spans="1:14">
      <c r="A446">
        <v>12731</v>
      </c>
      <c r="B446" t="s">
        <v>42</v>
      </c>
      <c r="C446" t="s">
        <v>44</v>
      </c>
      <c r="D446" s="3">
        <v>30000</v>
      </c>
      <c r="E446" s="3" t="s">
        <v>45</v>
      </c>
      <c r="F446">
        <v>0</v>
      </c>
      <c r="G446" t="s">
        <v>30</v>
      </c>
      <c r="H446" t="s">
        <v>28</v>
      </c>
      <c r="I446" t="s">
        <v>48</v>
      </c>
      <c r="J446">
        <v>1</v>
      </c>
      <c r="K446" t="s">
        <v>29</v>
      </c>
      <c r="L446" t="s">
        <v>19</v>
      </c>
      <c r="M446" t="s">
        <v>52</v>
      </c>
      <c r="N446" t="s">
        <v>20</v>
      </c>
    </row>
    <row r="447" spans="1:14">
      <c r="A447">
        <v>25307</v>
      </c>
      <c r="B447" t="s">
        <v>41</v>
      </c>
      <c r="C447" t="s">
        <v>43</v>
      </c>
      <c r="D447" s="3">
        <v>40000</v>
      </c>
      <c r="E447" s="3" t="s">
        <v>45</v>
      </c>
      <c r="F447">
        <v>1</v>
      </c>
      <c r="G447" t="s">
        <v>15</v>
      </c>
      <c r="H447" t="s">
        <v>16</v>
      </c>
      <c r="I447" t="s">
        <v>7</v>
      </c>
      <c r="J447">
        <v>1</v>
      </c>
      <c r="K447" t="s">
        <v>29</v>
      </c>
      <c r="L447" t="s">
        <v>19</v>
      </c>
      <c r="M447" t="s">
        <v>52</v>
      </c>
      <c r="N447" t="s">
        <v>17</v>
      </c>
    </row>
    <row r="448" spans="1:14">
      <c r="A448">
        <v>14278</v>
      </c>
      <c r="B448" t="s">
        <v>41</v>
      </c>
      <c r="C448" t="s">
        <v>43</v>
      </c>
      <c r="D448" s="3">
        <v>130000</v>
      </c>
      <c r="E448" s="3" t="s">
        <v>47</v>
      </c>
      <c r="F448">
        <v>0</v>
      </c>
      <c r="G448" t="s">
        <v>34</v>
      </c>
      <c r="H448" t="s">
        <v>31</v>
      </c>
      <c r="I448" t="s">
        <v>7</v>
      </c>
      <c r="J448">
        <v>1</v>
      </c>
      <c r="K448" t="s">
        <v>33</v>
      </c>
      <c r="L448" t="s">
        <v>27</v>
      </c>
      <c r="M448" t="s">
        <v>51</v>
      </c>
      <c r="N448" t="s">
        <v>20</v>
      </c>
    </row>
    <row r="449" spans="1:14">
      <c r="A449">
        <v>20711</v>
      </c>
      <c r="B449" t="s">
        <v>41</v>
      </c>
      <c r="C449" t="s">
        <v>43</v>
      </c>
      <c r="D449" s="3">
        <v>40000</v>
      </c>
      <c r="E449" s="3" t="s">
        <v>45</v>
      </c>
      <c r="F449">
        <v>1</v>
      </c>
      <c r="G449" t="s">
        <v>15</v>
      </c>
      <c r="H449" t="s">
        <v>16</v>
      </c>
      <c r="I449" t="s">
        <v>7</v>
      </c>
      <c r="J449">
        <v>0</v>
      </c>
      <c r="K449" t="s">
        <v>29</v>
      </c>
      <c r="L449" t="s">
        <v>19</v>
      </c>
      <c r="M449" t="s">
        <v>52</v>
      </c>
      <c r="N449" t="s">
        <v>17</v>
      </c>
    </row>
    <row r="450" spans="1:14">
      <c r="A450">
        <v>11383</v>
      </c>
      <c r="B450" t="s">
        <v>41</v>
      </c>
      <c r="C450" t="s">
        <v>43</v>
      </c>
      <c r="D450" s="3">
        <v>30000</v>
      </c>
      <c r="E450" s="3" t="s">
        <v>45</v>
      </c>
      <c r="F450">
        <v>3</v>
      </c>
      <c r="G450" t="s">
        <v>34</v>
      </c>
      <c r="H450" t="s">
        <v>22</v>
      </c>
      <c r="I450" t="s">
        <v>7</v>
      </c>
      <c r="J450">
        <v>0</v>
      </c>
      <c r="K450" t="s">
        <v>18</v>
      </c>
      <c r="L450" t="s">
        <v>19</v>
      </c>
      <c r="M450" t="s">
        <v>51</v>
      </c>
      <c r="N450" t="s">
        <v>20</v>
      </c>
    </row>
    <row r="451" spans="1:14">
      <c r="A451">
        <v>12497</v>
      </c>
      <c r="B451" t="s">
        <v>41</v>
      </c>
      <c r="C451" t="s">
        <v>43</v>
      </c>
      <c r="D451" s="3">
        <v>40000</v>
      </c>
      <c r="E451" s="3" t="s">
        <v>45</v>
      </c>
      <c r="F451">
        <v>1</v>
      </c>
      <c r="G451" t="s">
        <v>15</v>
      </c>
      <c r="H451" t="s">
        <v>16</v>
      </c>
      <c r="I451" t="s">
        <v>7</v>
      </c>
      <c r="J451">
        <v>0</v>
      </c>
      <c r="K451" t="s">
        <v>18</v>
      </c>
      <c r="L451" t="s">
        <v>19</v>
      </c>
      <c r="M451" t="s">
        <v>49</v>
      </c>
      <c r="N451" t="s">
        <v>20</v>
      </c>
    </row>
    <row r="452" spans="1:14">
      <c r="A452">
        <v>16559</v>
      </c>
      <c r="B452" t="s">
        <v>42</v>
      </c>
      <c r="C452" t="s">
        <v>43</v>
      </c>
      <c r="D452" s="3">
        <v>10000</v>
      </c>
      <c r="E452" s="3" t="s">
        <v>45</v>
      </c>
      <c r="F452">
        <v>2</v>
      </c>
      <c r="G452" t="s">
        <v>30</v>
      </c>
      <c r="H452" t="s">
        <v>28</v>
      </c>
      <c r="I452" t="s">
        <v>7</v>
      </c>
      <c r="J452">
        <v>0</v>
      </c>
      <c r="K452" t="s">
        <v>18</v>
      </c>
      <c r="L452" t="s">
        <v>19</v>
      </c>
      <c r="M452" t="s">
        <v>49</v>
      </c>
      <c r="N452" t="s">
        <v>17</v>
      </c>
    </row>
    <row r="453" spans="1:14">
      <c r="A453">
        <v>11585</v>
      </c>
      <c r="B453" t="s">
        <v>41</v>
      </c>
      <c r="C453" t="s">
        <v>43</v>
      </c>
      <c r="D453" s="3">
        <v>40000</v>
      </c>
      <c r="E453" s="3" t="s">
        <v>45</v>
      </c>
      <c r="F453">
        <v>1</v>
      </c>
      <c r="G453" t="s">
        <v>15</v>
      </c>
      <c r="H453" t="s">
        <v>16</v>
      </c>
      <c r="I453" t="s">
        <v>7</v>
      </c>
      <c r="J453">
        <v>0</v>
      </c>
      <c r="K453" t="s">
        <v>18</v>
      </c>
      <c r="L453" t="s">
        <v>19</v>
      </c>
      <c r="M453" t="s">
        <v>49</v>
      </c>
      <c r="N453" t="s">
        <v>20</v>
      </c>
    </row>
    <row r="454" spans="1:14">
      <c r="A454">
        <v>20277</v>
      </c>
      <c r="B454" t="s">
        <v>41</v>
      </c>
      <c r="C454" t="s">
        <v>43</v>
      </c>
      <c r="D454" s="3">
        <v>30000</v>
      </c>
      <c r="E454" s="3" t="s">
        <v>45</v>
      </c>
      <c r="F454">
        <v>2</v>
      </c>
      <c r="G454" t="s">
        <v>21</v>
      </c>
      <c r="H454" t="s">
        <v>22</v>
      </c>
      <c r="I454" t="s">
        <v>48</v>
      </c>
      <c r="J454">
        <v>2</v>
      </c>
      <c r="K454" t="s">
        <v>18</v>
      </c>
      <c r="L454" t="s">
        <v>27</v>
      </c>
      <c r="M454" t="s">
        <v>53</v>
      </c>
      <c r="N454" t="s">
        <v>20</v>
      </c>
    </row>
    <row r="455" spans="1:14">
      <c r="A455">
        <v>26765</v>
      </c>
      <c r="B455" t="s">
        <v>42</v>
      </c>
      <c r="C455" t="s">
        <v>43</v>
      </c>
      <c r="D455" s="3">
        <v>70000</v>
      </c>
      <c r="E455" s="3" t="s">
        <v>46</v>
      </c>
      <c r="F455">
        <v>5</v>
      </c>
      <c r="G455" t="s">
        <v>21</v>
      </c>
      <c r="H455" t="s">
        <v>16</v>
      </c>
      <c r="I455" t="s">
        <v>7</v>
      </c>
      <c r="J455">
        <v>2</v>
      </c>
      <c r="K455" t="s">
        <v>26</v>
      </c>
      <c r="L455" t="s">
        <v>27</v>
      </c>
      <c r="M455" t="s">
        <v>51</v>
      </c>
      <c r="N455" t="s">
        <v>20</v>
      </c>
    </row>
    <row r="456" spans="1:14">
      <c r="A456">
        <v>12389</v>
      </c>
      <c r="B456" t="s">
        <v>42</v>
      </c>
      <c r="C456" t="s">
        <v>44</v>
      </c>
      <c r="D456" s="3">
        <v>30000</v>
      </c>
      <c r="E456" s="3" t="s">
        <v>45</v>
      </c>
      <c r="F456">
        <v>0</v>
      </c>
      <c r="G456" t="s">
        <v>30</v>
      </c>
      <c r="H456" t="s">
        <v>28</v>
      </c>
      <c r="I456" t="s">
        <v>48</v>
      </c>
      <c r="J456">
        <v>1</v>
      </c>
      <c r="K456" t="s">
        <v>24</v>
      </c>
      <c r="L456" t="s">
        <v>19</v>
      </c>
      <c r="M456" t="s">
        <v>52</v>
      </c>
      <c r="N456" t="s">
        <v>20</v>
      </c>
    </row>
    <row r="457" spans="1:14">
      <c r="A457">
        <v>13585</v>
      </c>
      <c r="B457" t="s">
        <v>41</v>
      </c>
      <c r="C457" t="s">
        <v>43</v>
      </c>
      <c r="D457" s="3">
        <v>80000</v>
      </c>
      <c r="E457" s="3" t="s">
        <v>46</v>
      </c>
      <c r="F457">
        <v>4</v>
      </c>
      <c r="G457" t="s">
        <v>21</v>
      </c>
      <c r="H457" t="s">
        <v>23</v>
      </c>
      <c r="I457" t="s">
        <v>48</v>
      </c>
      <c r="J457">
        <v>1</v>
      </c>
      <c r="K457" t="s">
        <v>24</v>
      </c>
      <c r="L457" t="s">
        <v>19</v>
      </c>
      <c r="M457" t="s">
        <v>51</v>
      </c>
      <c r="N457" t="s">
        <v>17</v>
      </c>
    </row>
    <row r="458" spans="1:14">
      <c r="A458">
        <v>26385</v>
      </c>
      <c r="B458" t="s">
        <v>42</v>
      </c>
      <c r="C458" t="s">
        <v>44</v>
      </c>
      <c r="D458" s="3">
        <v>120000</v>
      </c>
      <c r="E458" s="3" t="s">
        <v>47</v>
      </c>
      <c r="F458">
        <v>3</v>
      </c>
      <c r="G458" t="s">
        <v>30</v>
      </c>
      <c r="H458" t="s">
        <v>23</v>
      </c>
      <c r="I458" t="s">
        <v>48</v>
      </c>
      <c r="J458">
        <v>4</v>
      </c>
      <c r="K458" t="s">
        <v>26</v>
      </c>
      <c r="L458" t="s">
        <v>19</v>
      </c>
      <c r="M458" t="s">
        <v>51</v>
      </c>
      <c r="N458" t="s">
        <v>20</v>
      </c>
    </row>
    <row r="459" spans="1:14">
      <c r="A459">
        <v>12236</v>
      </c>
      <c r="B459" t="s">
        <v>41</v>
      </c>
      <c r="C459" t="s">
        <v>43</v>
      </c>
      <c r="D459" s="3">
        <v>20000</v>
      </c>
      <c r="E459" s="3" t="s">
        <v>45</v>
      </c>
      <c r="F459">
        <v>1</v>
      </c>
      <c r="G459" t="s">
        <v>21</v>
      </c>
      <c r="H459" t="s">
        <v>28</v>
      </c>
      <c r="I459" t="s">
        <v>7</v>
      </c>
      <c r="J459">
        <v>0</v>
      </c>
      <c r="K459" t="s">
        <v>18</v>
      </c>
      <c r="L459" t="s">
        <v>19</v>
      </c>
      <c r="M459" t="s">
        <v>53</v>
      </c>
      <c r="N459" t="s">
        <v>20</v>
      </c>
    </row>
    <row r="460" spans="1:14">
      <c r="A460">
        <v>21560</v>
      </c>
      <c r="B460" t="s">
        <v>41</v>
      </c>
      <c r="C460" t="s">
        <v>44</v>
      </c>
      <c r="D460" s="3">
        <v>120000</v>
      </c>
      <c r="E460" s="3" t="s">
        <v>47</v>
      </c>
      <c r="F460">
        <v>0</v>
      </c>
      <c r="G460" t="s">
        <v>32</v>
      </c>
      <c r="H460" t="s">
        <v>23</v>
      </c>
      <c r="I460" t="s">
        <v>7</v>
      </c>
      <c r="J460">
        <v>4</v>
      </c>
      <c r="K460" t="s">
        <v>33</v>
      </c>
      <c r="L460" t="s">
        <v>27</v>
      </c>
      <c r="M460" t="s">
        <v>52</v>
      </c>
      <c r="N460" t="s">
        <v>17</v>
      </c>
    </row>
    <row r="461" spans="1:14">
      <c r="A461">
        <v>21554</v>
      </c>
      <c r="B461" t="s">
        <v>42</v>
      </c>
      <c r="C461" t="s">
        <v>43</v>
      </c>
      <c r="D461" s="3">
        <v>80000</v>
      </c>
      <c r="E461" s="3" t="s">
        <v>46</v>
      </c>
      <c r="F461">
        <v>0</v>
      </c>
      <c r="G461" t="s">
        <v>15</v>
      </c>
      <c r="H461" t="s">
        <v>23</v>
      </c>
      <c r="I461" t="s">
        <v>48</v>
      </c>
      <c r="J461">
        <v>3</v>
      </c>
      <c r="K461" t="s">
        <v>33</v>
      </c>
      <c r="L461" t="s">
        <v>27</v>
      </c>
      <c r="M461" t="s">
        <v>52</v>
      </c>
      <c r="N461" t="s">
        <v>20</v>
      </c>
    </row>
    <row r="462" spans="1:14">
      <c r="A462">
        <v>13662</v>
      </c>
      <c r="B462" t="s">
        <v>42</v>
      </c>
      <c r="C462" t="s">
        <v>44</v>
      </c>
      <c r="D462" s="3">
        <v>20000</v>
      </c>
      <c r="E462" s="3" t="s">
        <v>45</v>
      </c>
      <c r="F462">
        <v>0</v>
      </c>
      <c r="G462" t="s">
        <v>32</v>
      </c>
      <c r="H462" t="s">
        <v>28</v>
      </c>
      <c r="I462" t="s">
        <v>7</v>
      </c>
      <c r="J462">
        <v>2</v>
      </c>
      <c r="K462" t="s">
        <v>29</v>
      </c>
      <c r="L462" t="s">
        <v>19</v>
      </c>
      <c r="M462" t="s">
        <v>52</v>
      </c>
      <c r="N462" t="s">
        <v>17</v>
      </c>
    </row>
    <row r="463" spans="1:14">
      <c r="A463">
        <v>13089</v>
      </c>
      <c r="B463" t="s">
        <v>41</v>
      </c>
      <c r="C463" t="s">
        <v>43</v>
      </c>
      <c r="D463" s="3">
        <v>120000</v>
      </c>
      <c r="E463" s="3" t="s">
        <v>47</v>
      </c>
      <c r="F463">
        <v>1</v>
      </c>
      <c r="G463" t="s">
        <v>15</v>
      </c>
      <c r="H463" t="s">
        <v>31</v>
      </c>
      <c r="I463" t="s">
        <v>7</v>
      </c>
      <c r="J463">
        <v>2</v>
      </c>
      <c r="K463" t="s">
        <v>18</v>
      </c>
      <c r="L463" t="s">
        <v>27</v>
      </c>
      <c r="M463" t="s">
        <v>51</v>
      </c>
      <c r="N463" t="s">
        <v>17</v>
      </c>
    </row>
    <row r="464" spans="1:14">
      <c r="A464">
        <v>14791</v>
      </c>
      <c r="B464" t="s">
        <v>41</v>
      </c>
      <c r="C464" t="s">
        <v>43</v>
      </c>
      <c r="D464" s="3">
        <v>40000</v>
      </c>
      <c r="E464" s="3" t="s">
        <v>45</v>
      </c>
      <c r="F464">
        <v>0</v>
      </c>
      <c r="G464" t="s">
        <v>15</v>
      </c>
      <c r="H464" t="s">
        <v>22</v>
      </c>
      <c r="I464" t="s">
        <v>7</v>
      </c>
      <c r="J464">
        <v>0</v>
      </c>
      <c r="K464" t="s">
        <v>18</v>
      </c>
      <c r="L464" t="s">
        <v>19</v>
      </c>
      <c r="M464" t="s">
        <v>49</v>
      </c>
      <c r="N464" t="s">
        <v>17</v>
      </c>
    </row>
    <row r="465" spans="1:14">
      <c r="A465">
        <v>19331</v>
      </c>
      <c r="B465" t="s">
        <v>42</v>
      </c>
      <c r="C465" t="s">
        <v>44</v>
      </c>
      <c r="D465" s="3">
        <v>20000</v>
      </c>
      <c r="E465" s="3" t="s">
        <v>45</v>
      </c>
      <c r="F465">
        <v>2</v>
      </c>
      <c r="G465" t="s">
        <v>30</v>
      </c>
      <c r="H465" t="s">
        <v>28</v>
      </c>
      <c r="I465" t="s">
        <v>7</v>
      </c>
      <c r="J465">
        <v>1</v>
      </c>
      <c r="K465" t="s">
        <v>18</v>
      </c>
      <c r="L465" t="s">
        <v>19</v>
      </c>
      <c r="M465" t="s">
        <v>49</v>
      </c>
      <c r="N465" t="s">
        <v>20</v>
      </c>
    </row>
    <row r="466" spans="1:14">
      <c r="A466">
        <v>17754</v>
      </c>
      <c r="B466" t="s">
        <v>42</v>
      </c>
      <c r="C466" t="s">
        <v>43</v>
      </c>
      <c r="D466" s="3">
        <v>30000</v>
      </c>
      <c r="E466" s="3" t="s">
        <v>45</v>
      </c>
      <c r="F466">
        <v>3</v>
      </c>
      <c r="G466" t="s">
        <v>15</v>
      </c>
      <c r="H466" t="s">
        <v>22</v>
      </c>
      <c r="I466" t="s">
        <v>7</v>
      </c>
      <c r="J466">
        <v>0</v>
      </c>
      <c r="K466" t="s">
        <v>18</v>
      </c>
      <c r="L466" t="s">
        <v>19</v>
      </c>
      <c r="M466" t="s">
        <v>51</v>
      </c>
      <c r="N466" t="s">
        <v>17</v>
      </c>
    </row>
    <row r="467" spans="1:14">
      <c r="A467">
        <v>11149</v>
      </c>
      <c r="B467" t="s">
        <v>41</v>
      </c>
      <c r="C467" t="s">
        <v>44</v>
      </c>
      <c r="D467" s="3">
        <v>40000</v>
      </c>
      <c r="E467" s="3" t="s">
        <v>45</v>
      </c>
      <c r="F467">
        <v>2</v>
      </c>
      <c r="G467" t="s">
        <v>15</v>
      </c>
      <c r="H467" t="s">
        <v>31</v>
      </c>
      <c r="I467" t="s">
        <v>7</v>
      </c>
      <c r="J467">
        <v>2</v>
      </c>
      <c r="K467" t="s">
        <v>18</v>
      </c>
      <c r="L467" t="s">
        <v>27</v>
      </c>
      <c r="M467" t="s">
        <v>53</v>
      </c>
      <c r="N467" t="s">
        <v>20</v>
      </c>
    </row>
    <row r="468" spans="1:14">
      <c r="A468">
        <v>16549</v>
      </c>
      <c r="B468" t="s">
        <v>42</v>
      </c>
      <c r="C468" t="s">
        <v>43</v>
      </c>
      <c r="D468" s="3">
        <v>30000</v>
      </c>
      <c r="E468" s="3" t="s">
        <v>45</v>
      </c>
      <c r="F468">
        <v>3</v>
      </c>
      <c r="G468" t="s">
        <v>15</v>
      </c>
      <c r="H468" t="s">
        <v>22</v>
      </c>
      <c r="I468" t="s">
        <v>7</v>
      </c>
      <c r="J468">
        <v>0</v>
      </c>
      <c r="K468" t="s">
        <v>18</v>
      </c>
      <c r="L468" t="s">
        <v>19</v>
      </c>
      <c r="M468" t="s">
        <v>51</v>
      </c>
      <c r="N468" t="s">
        <v>17</v>
      </c>
    </row>
    <row r="469" spans="1:14">
      <c r="A469">
        <v>24305</v>
      </c>
      <c r="B469" t="s">
        <v>42</v>
      </c>
      <c r="C469" t="s">
        <v>44</v>
      </c>
      <c r="D469" s="3">
        <v>100000</v>
      </c>
      <c r="E469" s="3" t="s">
        <v>46</v>
      </c>
      <c r="F469">
        <v>1</v>
      </c>
      <c r="G469" t="s">
        <v>15</v>
      </c>
      <c r="H469" t="s">
        <v>31</v>
      </c>
      <c r="I469" t="s">
        <v>48</v>
      </c>
      <c r="J469">
        <v>3</v>
      </c>
      <c r="K469" t="s">
        <v>18</v>
      </c>
      <c r="L469" t="s">
        <v>27</v>
      </c>
      <c r="M469" t="s">
        <v>51</v>
      </c>
      <c r="N469" t="s">
        <v>17</v>
      </c>
    </row>
    <row r="470" spans="1:14">
      <c r="A470">
        <v>18253</v>
      </c>
      <c r="B470" t="s">
        <v>41</v>
      </c>
      <c r="C470" t="s">
        <v>43</v>
      </c>
      <c r="D470" s="3">
        <v>80000</v>
      </c>
      <c r="E470" s="3" t="s">
        <v>46</v>
      </c>
      <c r="F470">
        <v>5</v>
      </c>
      <c r="G470" t="s">
        <v>34</v>
      </c>
      <c r="H470" t="s">
        <v>31</v>
      </c>
      <c r="I470" t="s">
        <v>7</v>
      </c>
      <c r="J470">
        <v>3</v>
      </c>
      <c r="K470" t="s">
        <v>18</v>
      </c>
      <c r="L470" t="s">
        <v>27</v>
      </c>
      <c r="M470" t="s">
        <v>49</v>
      </c>
      <c r="N470" t="s">
        <v>20</v>
      </c>
    </row>
    <row r="471" spans="1:14">
      <c r="A471">
        <v>20147</v>
      </c>
      <c r="B471" t="s">
        <v>41</v>
      </c>
      <c r="C471" t="s">
        <v>43</v>
      </c>
      <c r="D471" s="3">
        <v>30000</v>
      </c>
      <c r="E471" s="3" t="s">
        <v>45</v>
      </c>
      <c r="F471">
        <v>1</v>
      </c>
      <c r="G471" t="s">
        <v>15</v>
      </c>
      <c r="H471" t="s">
        <v>22</v>
      </c>
      <c r="I471" t="s">
        <v>7</v>
      </c>
      <c r="J471">
        <v>0</v>
      </c>
      <c r="K471" t="s">
        <v>18</v>
      </c>
      <c r="L471" t="s">
        <v>19</v>
      </c>
      <c r="M471" t="s">
        <v>53</v>
      </c>
      <c r="N471" t="s">
        <v>20</v>
      </c>
    </row>
    <row r="472" spans="1:14">
      <c r="A472">
        <v>15612</v>
      </c>
      <c r="B472" t="s">
        <v>42</v>
      </c>
      <c r="C472" t="s">
        <v>44</v>
      </c>
      <c r="D472" s="3">
        <v>30000</v>
      </c>
      <c r="E472" s="3" t="s">
        <v>45</v>
      </c>
      <c r="F472">
        <v>0</v>
      </c>
      <c r="G472" t="s">
        <v>30</v>
      </c>
      <c r="H472" t="s">
        <v>28</v>
      </c>
      <c r="I472" t="s">
        <v>48</v>
      </c>
      <c r="J472">
        <v>1</v>
      </c>
      <c r="K472" t="s">
        <v>29</v>
      </c>
      <c r="L472" t="s">
        <v>19</v>
      </c>
      <c r="M472" t="s">
        <v>52</v>
      </c>
      <c r="N472" t="s">
        <v>20</v>
      </c>
    </row>
    <row r="473" spans="1:14">
      <c r="A473">
        <v>28323</v>
      </c>
      <c r="B473" t="s">
        <v>42</v>
      </c>
      <c r="C473" t="s">
        <v>44</v>
      </c>
      <c r="D473" s="3">
        <v>70000</v>
      </c>
      <c r="E473" s="3" t="s">
        <v>46</v>
      </c>
      <c r="F473">
        <v>0</v>
      </c>
      <c r="G473" t="s">
        <v>15</v>
      </c>
      <c r="H473" t="s">
        <v>23</v>
      </c>
      <c r="I473" t="s">
        <v>48</v>
      </c>
      <c r="J473">
        <v>2</v>
      </c>
      <c r="K473" t="s">
        <v>26</v>
      </c>
      <c r="L473" t="s">
        <v>27</v>
      </c>
      <c r="M473" t="s">
        <v>49</v>
      </c>
      <c r="N473" t="s">
        <v>17</v>
      </c>
    </row>
    <row r="474" spans="1:14">
      <c r="A474">
        <v>22634</v>
      </c>
      <c r="B474" t="s">
        <v>42</v>
      </c>
      <c r="C474" t="s">
        <v>43</v>
      </c>
      <c r="D474" s="3">
        <v>40000</v>
      </c>
      <c r="E474" s="3" t="s">
        <v>45</v>
      </c>
      <c r="F474">
        <v>0</v>
      </c>
      <c r="G474" t="s">
        <v>34</v>
      </c>
      <c r="H474" t="s">
        <v>22</v>
      </c>
      <c r="I474" t="s">
        <v>7</v>
      </c>
      <c r="J474">
        <v>0</v>
      </c>
      <c r="K474" t="s">
        <v>18</v>
      </c>
      <c r="L474" t="s">
        <v>19</v>
      </c>
      <c r="M474" t="s">
        <v>49</v>
      </c>
      <c r="N474" t="s">
        <v>17</v>
      </c>
    </row>
    <row r="475" spans="1:14">
      <c r="A475">
        <v>15665</v>
      </c>
      <c r="B475" t="s">
        <v>41</v>
      </c>
      <c r="C475" t="s">
        <v>43</v>
      </c>
      <c r="D475" s="3">
        <v>30000</v>
      </c>
      <c r="E475" s="3" t="s">
        <v>45</v>
      </c>
      <c r="F475">
        <v>0</v>
      </c>
      <c r="G475" t="s">
        <v>15</v>
      </c>
      <c r="H475" t="s">
        <v>22</v>
      </c>
      <c r="I475" t="s">
        <v>7</v>
      </c>
      <c r="J475">
        <v>0</v>
      </c>
      <c r="K475" t="s">
        <v>18</v>
      </c>
      <c r="L475" t="s">
        <v>19</v>
      </c>
      <c r="M475" t="s">
        <v>51</v>
      </c>
      <c r="N475" t="s">
        <v>17</v>
      </c>
    </row>
    <row r="476" spans="1:14">
      <c r="A476">
        <v>27585</v>
      </c>
      <c r="B476" t="s">
        <v>41</v>
      </c>
      <c r="C476" t="s">
        <v>43</v>
      </c>
      <c r="D476" s="3">
        <v>90000</v>
      </c>
      <c r="E476" s="3" t="s">
        <v>46</v>
      </c>
      <c r="F476">
        <v>2</v>
      </c>
      <c r="G476" t="s">
        <v>15</v>
      </c>
      <c r="H476" t="s">
        <v>23</v>
      </c>
      <c r="I476" t="s">
        <v>48</v>
      </c>
      <c r="J476">
        <v>0</v>
      </c>
      <c r="K476" t="s">
        <v>18</v>
      </c>
      <c r="L476" t="s">
        <v>27</v>
      </c>
      <c r="M476" t="s">
        <v>49</v>
      </c>
      <c r="N476" t="s">
        <v>17</v>
      </c>
    </row>
    <row r="477" spans="1:14">
      <c r="A477">
        <v>19748</v>
      </c>
      <c r="B477" t="s">
        <v>41</v>
      </c>
      <c r="C477" t="s">
        <v>44</v>
      </c>
      <c r="D477" s="3">
        <v>20000</v>
      </c>
      <c r="E477" s="3" t="s">
        <v>45</v>
      </c>
      <c r="F477">
        <v>4</v>
      </c>
      <c r="G477" t="s">
        <v>30</v>
      </c>
      <c r="H477" t="s">
        <v>16</v>
      </c>
      <c r="I477" t="s">
        <v>48</v>
      </c>
      <c r="J477">
        <v>2</v>
      </c>
      <c r="K477" t="s">
        <v>29</v>
      </c>
      <c r="L477" t="s">
        <v>27</v>
      </c>
      <c r="M477" t="s">
        <v>50</v>
      </c>
      <c r="N477" t="s">
        <v>20</v>
      </c>
    </row>
    <row r="478" spans="1:14">
      <c r="A478">
        <v>21974</v>
      </c>
      <c r="B478" t="s">
        <v>42</v>
      </c>
      <c r="C478" t="s">
        <v>43</v>
      </c>
      <c r="D478" s="3">
        <v>70000</v>
      </c>
      <c r="E478" s="3" t="s">
        <v>46</v>
      </c>
      <c r="F478">
        <v>0</v>
      </c>
      <c r="G478" t="s">
        <v>15</v>
      </c>
      <c r="H478" t="s">
        <v>23</v>
      </c>
      <c r="I478" t="s">
        <v>7</v>
      </c>
      <c r="J478">
        <v>1</v>
      </c>
      <c r="K478" t="s">
        <v>26</v>
      </c>
      <c r="L478" t="s">
        <v>27</v>
      </c>
      <c r="M478" t="s">
        <v>49</v>
      </c>
      <c r="N478" t="s">
        <v>17</v>
      </c>
    </row>
    <row r="479" spans="1:14">
      <c r="A479">
        <v>14032</v>
      </c>
      <c r="B479" t="s">
        <v>41</v>
      </c>
      <c r="C479" t="s">
        <v>44</v>
      </c>
      <c r="D479" s="3">
        <v>70000</v>
      </c>
      <c r="E479" s="3" t="s">
        <v>46</v>
      </c>
      <c r="F479">
        <v>2</v>
      </c>
      <c r="G479" t="s">
        <v>30</v>
      </c>
      <c r="H479" t="s">
        <v>16</v>
      </c>
      <c r="I479" t="s">
        <v>48</v>
      </c>
      <c r="J479">
        <v>2</v>
      </c>
      <c r="K479" t="s">
        <v>29</v>
      </c>
      <c r="L479" t="s">
        <v>27</v>
      </c>
      <c r="M479" t="s">
        <v>51</v>
      </c>
      <c r="N479" t="s">
        <v>17</v>
      </c>
    </row>
    <row r="480" spans="1:14">
      <c r="A480">
        <v>22610</v>
      </c>
      <c r="B480" t="s">
        <v>41</v>
      </c>
      <c r="C480" t="s">
        <v>44</v>
      </c>
      <c r="D480" s="3">
        <v>30000</v>
      </c>
      <c r="E480" s="3" t="s">
        <v>45</v>
      </c>
      <c r="F480">
        <v>0</v>
      </c>
      <c r="G480" t="s">
        <v>15</v>
      </c>
      <c r="H480" t="s">
        <v>22</v>
      </c>
      <c r="I480" t="s">
        <v>7</v>
      </c>
      <c r="J480">
        <v>0</v>
      </c>
      <c r="K480" t="s">
        <v>18</v>
      </c>
      <c r="L480" t="s">
        <v>19</v>
      </c>
      <c r="M480" t="s">
        <v>49</v>
      </c>
      <c r="N480" t="s">
        <v>17</v>
      </c>
    </row>
    <row r="481" spans="1:14">
      <c r="A481">
        <v>26984</v>
      </c>
      <c r="B481" t="s">
        <v>41</v>
      </c>
      <c r="C481" t="s">
        <v>44</v>
      </c>
      <c r="D481" s="3">
        <v>40000</v>
      </c>
      <c r="E481" s="3" t="s">
        <v>45</v>
      </c>
      <c r="F481">
        <v>1</v>
      </c>
      <c r="G481" t="s">
        <v>15</v>
      </c>
      <c r="H481" t="s">
        <v>16</v>
      </c>
      <c r="I481" t="s">
        <v>7</v>
      </c>
      <c r="J481">
        <v>1</v>
      </c>
      <c r="K481" t="s">
        <v>18</v>
      </c>
      <c r="L481" t="s">
        <v>19</v>
      </c>
      <c r="M481" t="s">
        <v>52</v>
      </c>
      <c r="N481" t="s">
        <v>17</v>
      </c>
    </row>
    <row r="482" spans="1:14">
      <c r="A482">
        <v>18294</v>
      </c>
      <c r="B482" t="s">
        <v>41</v>
      </c>
      <c r="C482" t="s">
        <v>43</v>
      </c>
      <c r="D482" s="3">
        <v>90000</v>
      </c>
      <c r="E482" s="3" t="s">
        <v>46</v>
      </c>
      <c r="F482">
        <v>1</v>
      </c>
      <c r="G482" t="s">
        <v>15</v>
      </c>
      <c r="H482" t="s">
        <v>23</v>
      </c>
      <c r="I482" t="s">
        <v>7</v>
      </c>
      <c r="J482">
        <v>1</v>
      </c>
      <c r="K482" t="s">
        <v>26</v>
      </c>
      <c r="L482" t="s">
        <v>27</v>
      </c>
      <c r="M482" t="s">
        <v>51</v>
      </c>
      <c r="N482" t="s">
        <v>20</v>
      </c>
    </row>
    <row r="483" spans="1:14">
      <c r="A483">
        <v>28564</v>
      </c>
      <c r="B483" t="s">
        <v>42</v>
      </c>
      <c r="C483" t="s">
        <v>43</v>
      </c>
      <c r="D483" s="3">
        <v>40000</v>
      </c>
      <c r="E483" s="3" t="s">
        <v>45</v>
      </c>
      <c r="F483">
        <v>2</v>
      </c>
      <c r="G483" t="s">
        <v>21</v>
      </c>
      <c r="H483" t="s">
        <v>22</v>
      </c>
      <c r="I483" t="s">
        <v>7</v>
      </c>
      <c r="J483">
        <v>0</v>
      </c>
      <c r="K483" t="s">
        <v>29</v>
      </c>
      <c r="L483" t="s">
        <v>19</v>
      </c>
      <c r="M483" t="s">
        <v>52</v>
      </c>
      <c r="N483" t="s">
        <v>17</v>
      </c>
    </row>
    <row r="484" spans="1:14">
      <c r="A484">
        <v>28521</v>
      </c>
      <c r="B484" t="s">
        <v>42</v>
      </c>
      <c r="C484" t="s">
        <v>44</v>
      </c>
      <c r="D484" s="3">
        <v>40000</v>
      </c>
      <c r="E484" s="3" t="s">
        <v>45</v>
      </c>
      <c r="F484">
        <v>0</v>
      </c>
      <c r="G484" t="s">
        <v>34</v>
      </c>
      <c r="H484" t="s">
        <v>22</v>
      </c>
      <c r="I484" t="s">
        <v>48</v>
      </c>
      <c r="J484">
        <v>0</v>
      </c>
      <c r="K484" t="s">
        <v>18</v>
      </c>
      <c r="L484" t="s">
        <v>19</v>
      </c>
      <c r="M484" t="s">
        <v>49</v>
      </c>
      <c r="N484" t="s">
        <v>17</v>
      </c>
    </row>
    <row r="485" spans="1:14">
      <c r="A485">
        <v>15450</v>
      </c>
      <c r="B485" t="s">
        <v>41</v>
      </c>
      <c r="C485" t="s">
        <v>44</v>
      </c>
      <c r="D485" s="3">
        <v>10000</v>
      </c>
      <c r="E485" s="3" t="s">
        <v>45</v>
      </c>
      <c r="F485">
        <v>1</v>
      </c>
      <c r="G485" t="s">
        <v>34</v>
      </c>
      <c r="H485" t="s">
        <v>22</v>
      </c>
      <c r="I485" t="s">
        <v>7</v>
      </c>
      <c r="J485">
        <v>0</v>
      </c>
      <c r="K485" t="s">
        <v>18</v>
      </c>
      <c r="L485" t="s">
        <v>19</v>
      </c>
      <c r="M485" t="s">
        <v>53</v>
      </c>
      <c r="N485" t="s">
        <v>20</v>
      </c>
    </row>
    <row r="486" spans="1:14">
      <c r="A486">
        <v>25681</v>
      </c>
      <c r="B486" t="s">
        <v>42</v>
      </c>
      <c r="C486" t="s">
        <v>43</v>
      </c>
      <c r="D486" s="3">
        <v>30000</v>
      </c>
      <c r="E486" s="3" t="s">
        <v>45</v>
      </c>
      <c r="F486">
        <v>0</v>
      </c>
      <c r="G486" t="s">
        <v>21</v>
      </c>
      <c r="H486" t="s">
        <v>22</v>
      </c>
      <c r="I486" t="s">
        <v>48</v>
      </c>
      <c r="J486">
        <v>1</v>
      </c>
      <c r="K486" t="s">
        <v>24</v>
      </c>
      <c r="L486" t="s">
        <v>19</v>
      </c>
      <c r="M486" t="s">
        <v>52</v>
      </c>
      <c r="N486" t="s">
        <v>17</v>
      </c>
    </row>
    <row r="487" spans="1:14">
      <c r="A487">
        <v>19491</v>
      </c>
      <c r="B487" t="s">
        <v>42</v>
      </c>
      <c r="C487" t="s">
        <v>44</v>
      </c>
      <c r="D487" s="3">
        <v>30000</v>
      </c>
      <c r="E487" s="3" t="s">
        <v>45</v>
      </c>
      <c r="F487">
        <v>2</v>
      </c>
      <c r="G487" t="s">
        <v>21</v>
      </c>
      <c r="H487" t="s">
        <v>22</v>
      </c>
      <c r="I487" t="s">
        <v>7</v>
      </c>
      <c r="J487">
        <v>2</v>
      </c>
      <c r="K487" t="s">
        <v>18</v>
      </c>
      <c r="L487" t="s">
        <v>19</v>
      </c>
      <c r="M487" t="s">
        <v>49</v>
      </c>
      <c r="N487" t="s">
        <v>20</v>
      </c>
    </row>
    <row r="488" spans="1:14">
      <c r="A488">
        <v>26415</v>
      </c>
      <c r="B488" t="s">
        <v>41</v>
      </c>
      <c r="C488" t="s">
        <v>43</v>
      </c>
      <c r="D488" s="3">
        <v>90000</v>
      </c>
      <c r="E488" s="3" t="s">
        <v>46</v>
      </c>
      <c r="F488">
        <v>4</v>
      </c>
      <c r="G488" t="s">
        <v>32</v>
      </c>
      <c r="H488" t="s">
        <v>16</v>
      </c>
      <c r="I488" t="s">
        <v>7</v>
      </c>
      <c r="J488">
        <v>4</v>
      </c>
      <c r="K488" t="s">
        <v>33</v>
      </c>
      <c r="L488" t="s">
        <v>19</v>
      </c>
      <c r="M488" t="s">
        <v>50</v>
      </c>
      <c r="N488" t="s">
        <v>20</v>
      </c>
    </row>
    <row r="489" spans="1:14">
      <c r="A489">
        <v>12821</v>
      </c>
      <c r="B489" t="s">
        <v>41</v>
      </c>
      <c r="C489" t="s">
        <v>44</v>
      </c>
      <c r="D489" s="3">
        <v>40000</v>
      </c>
      <c r="E489" s="3" t="s">
        <v>45</v>
      </c>
      <c r="F489">
        <v>0</v>
      </c>
      <c r="G489" t="s">
        <v>15</v>
      </c>
      <c r="H489" t="s">
        <v>22</v>
      </c>
      <c r="I489" t="s">
        <v>7</v>
      </c>
      <c r="J489">
        <v>0</v>
      </c>
      <c r="K489" t="s">
        <v>18</v>
      </c>
      <c r="L489" t="s">
        <v>19</v>
      </c>
      <c r="M489" t="s">
        <v>49</v>
      </c>
      <c r="N489" t="s">
        <v>20</v>
      </c>
    </row>
    <row r="490" spans="1:14">
      <c r="A490">
        <v>15629</v>
      </c>
      <c r="B490" t="s">
        <v>42</v>
      </c>
      <c r="C490" t="s">
        <v>43</v>
      </c>
      <c r="D490" s="3">
        <v>10000</v>
      </c>
      <c r="E490" s="3" t="s">
        <v>45</v>
      </c>
      <c r="F490">
        <v>0</v>
      </c>
      <c r="G490" t="s">
        <v>32</v>
      </c>
      <c r="H490" t="s">
        <v>28</v>
      </c>
      <c r="I490" t="s">
        <v>7</v>
      </c>
      <c r="J490">
        <v>2</v>
      </c>
      <c r="K490" t="s">
        <v>29</v>
      </c>
      <c r="L490" t="s">
        <v>19</v>
      </c>
      <c r="M490" t="s">
        <v>52</v>
      </c>
      <c r="N490" t="s">
        <v>20</v>
      </c>
    </row>
    <row r="491" spans="1:14">
      <c r="A491">
        <v>27835</v>
      </c>
      <c r="B491" t="s">
        <v>41</v>
      </c>
      <c r="C491" t="s">
        <v>44</v>
      </c>
      <c r="D491" s="3">
        <v>20000</v>
      </c>
      <c r="E491" s="3" t="s">
        <v>45</v>
      </c>
      <c r="F491">
        <v>0</v>
      </c>
      <c r="G491" t="s">
        <v>32</v>
      </c>
      <c r="H491" t="s">
        <v>28</v>
      </c>
      <c r="I491" t="s">
        <v>7</v>
      </c>
      <c r="J491">
        <v>2</v>
      </c>
      <c r="K491" t="s">
        <v>18</v>
      </c>
      <c r="L491" t="s">
        <v>19</v>
      </c>
      <c r="M491" t="s">
        <v>52</v>
      </c>
      <c r="N491" t="s">
        <v>20</v>
      </c>
    </row>
    <row r="492" spans="1:14">
      <c r="A492">
        <v>11738</v>
      </c>
      <c r="B492" t="s">
        <v>41</v>
      </c>
      <c r="C492" t="s">
        <v>44</v>
      </c>
      <c r="D492" s="3">
        <v>60000</v>
      </c>
      <c r="E492" s="3" t="s">
        <v>46</v>
      </c>
      <c r="F492">
        <v>4</v>
      </c>
      <c r="G492" t="s">
        <v>15</v>
      </c>
      <c r="H492" t="s">
        <v>23</v>
      </c>
      <c r="I492" t="s">
        <v>7</v>
      </c>
      <c r="J492">
        <v>0</v>
      </c>
      <c r="K492" t="s">
        <v>24</v>
      </c>
      <c r="L492" t="s">
        <v>35</v>
      </c>
      <c r="M492" t="s">
        <v>51</v>
      </c>
      <c r="N492" t="s">
        <v>20</v>
      </c>
    </row>
    <row r="493" spans="1:14">
      <c r="A493">
        <v>25065</v>
      </c>
      <c r="B493" t="s">
        <v>41</v>
      </c>
      <c r="C493" t="s">
        <v>44</v>
      </c>
      <c r="D493" s="3">
        <v>70000</v>
      </c>
      <c r="E493" s="3" t="s">
        <v>46</v>
      </c>
      <c r="F493">
        <v>2</v>
      </c>
      <c r="G493" t="s">
        <v>32</v>
      </c>
      <c r="H493" t="s">
        <v>16</v>
      </c>
      <c r="I493" t="s">
        <v>7</v>
      </c>
      <c r="J493">
        <v>2</v>
      </c>
      <c r="K493" t="s">
        <v>26</v>
      </c>
      <c r="L493" t="s">
        <v>35</v>
      </c>
      <c r="M493" t="s">
        <v>51</v>
      </c>
      <c r="N493" t="s">
        <v>20</v>
      </c>
    </row>
    <row r="494" spans="1:14">
      <c r="A494">
        <v>26238</v>
      </c>
      <c r="B494" t="s">
        <v>42</v>
      </c>
      <c r="C494" t="s">
        <v>43</v>
      </c>
      <c r="D494" s="3">
        <v>40000</v>
      </c>
      <c r="E494" s="3" t="s">
        <v>45</v>
      </c>
      <c r="F494">
        <v>3</v>
      </c>
      <c r="G494" t="s">
        <v>21</v>
      </c>
      <c r="H494" t="s">
        <v>22</v>
      </c>
      <c r="I494" t="s">
        <v>7</v>
      </c>
      <c r="J494">
        <v>1</v>
      </c>
      <c r="K494" t="s">
        <v>29</v>
      </c>
      <c r="L494" t="s">
        <v>35</v>
      </c>
      <c r="M494" t="s">
        <v>52</v>
      </c>
      <c r="N494" t="s">
        <v>17</v>
      </c>
    </row>
    <row r="495" spans="1:14">
      <c r="A495">
        <v>23707</v>
      </c>
      <c r="B495" t="s">
        <v>42</v>
      </c>
      <c r="C495" t="s">
        <v>44</v>
      </c>
      <c r="D495" s="3">
        <v>70000</v>
      </c>
      <c r="E495" s="3" t="s">
        <v>46</v>
      </c>
      <c r="F495">
        <v>5</v>
      </c>
      <c r="G495" t="s">
        <v>15</v>
      </c>
      <c r="H495" t="s">
        <v>31</v>
      </c>
      <c r="I495" t="s">
        <v>7</v>
      </c>
      <c r="J495">
        <v>3</v>
      </c>
      <c r="K495" t="s">
        <v>33</v>
      </c>
      <c r="L495" t="s">
        <v>35</v>
      </c>
      <c r="M495" t="s">
        <v>50</v>
      </c>
      <c r="N495" t="s">
        <v>17</v>
      </c>
    </row>
    <row r="496" spans="1:14">
      <c r="A496">
        <v>27650</v>
      </c>
      <c r="B496" t="s">
        <v>41</v>
      </c>
      <c r="C496" t="s">
        <v>44</v>
      </c>
      <c r="D496" s="3">
        <v>70000</v>
      </c>
      <c r="E496" s="3" t="s">
        <v>46</v>
      </c>
      <c r="F496">
        <v>4</v>
      </c>
      <c r="G496" t="s">
        <v>30</v>
      </c>
      <c r="H496" t="s">
        <v>23</v>
      </c>
      <c r="I496" t="s">
        <v>7</v>
      </c>
      <c r="J496">
        <v>0</v>
      </c>
      <c r="K496" t="s">
        <v>26</v>
      </c>
      <c r="L496" t="s">
        <v>35</v>
      </c>
      <c r="M496" t="s">
        <v>51</v>
      </c>
      <c r="N496" t="s">
        <v>20</v>
      </c>
    </row>
    <row r="497" spans="1:14">
      <c r="A497">
        <v>24981</v>
      </c>
      <c r="B497" t="s">
        <v>41</v>
      </c>
      <c r="C497" t="s">
        <v>44</v>
      </c>
      <c r="D497" s="3">
        <v>60000</v>
      </c>
      <c r="E497" s="3" t="s">
        <v>46</v>
      </c>
      <c r="F497">
        <v>2</v>
      </c>
      <c r="G497" t="s">
        <v>21</v>
      </c>
      <c r="H497" t="s">
        <v>23</v>
      </c>
      <c r="I497" t="s">
        <v>7</v>
      </c>
      <c r="J497">
        <v>2</v>
      </c>
      <c r="K497" t="s">
        <v>33</v>
      </c>
      <c r="L497" t="s">
        <v>35</v>
      </c>
      <c r="M497" t="s">
        <v>50</v>
      </c>
      <c r="N497" t="s">
        <v>20</v>
      </c>
    </row>
    <row r="498" spans="1:14">
      <c r="A498">
        <v>20678</v>
      </c>
      <c r="B498" t="s">
        <v>42</v>
      </c>
      <c r="C498" t="s">
        <v>43</v>
      </c>
      <c r="D498" s="3">
        <v>60000</v>
      </c>
      <c r="E498" s="3" t="s">
        <v>46</v>
      </c>
      <c r="F498">
        <v>3</v>
      </c>
      <c r="G498" t="s">
        <v>15</v>
      </c>
      <c r="H498" t="s">
        <v>16</v>
      </c>
      <c r="I498" t="s">
        <v>7</v>
      </c>
      <c r="J498">
        <v>1</v>
      </c>
      <c r="K498" t="s">
        <v>24</v>
      </c>
      <c r="L498" t="s">
        <v>35</v>
      </c>
      <c r="M498" t="s">
        <v>49</v>
      </c>
      <c r="N498" t="s">
        <v>17</v>
      </c>
    </row>
    <row r="499" spans="1:14">
      <c r="A499">
        <v>15302</v>
      </c>
      <c r="B499" t="s">
        <v>42</v>
      </c>
      <c r="C499" t="s">
        <v>43</v>
      </c>
      <c r="D499" s="3">
        <v>70000</v>
      </c>
      <c r="E499" s="3" t="s">
        <v>46</v>
      </c>
      <c r="F499">
        <v>1</v>
      </c>
      <c r="G499" t="s">
        <v>34</v>
      </c>
      <c r="H499" t="s">
        <v>23</v>
      </c>
      <c r="I499" t="s">
        <v>7</v>
      </c>
      <c r="J499">
        <v>0</v>
      </c>
      <c r="K499" t="s">
        <v>24</v>
      </c>
      <c r="L499" t="s">
        <v>35</v>
      </c>
      <c r="M499" t="s">
        <v>52</v>
      </c>
      <c r="N499" t="s">
        <v>17</v>
      </c>
    </row>
    <row r="500" spans="1:14">
      <c r="A500">
        <v>26012</v>
      </c>
      <c r="B500" t="s">
        <v>41</v>
      </c>
      <c r="C500" t="s">
        <v>44</v>
      </c>
      <c r="D500" s="3">
        <v>80000</v>
      </c>
      <c r="E500" s="3" t="s">
        <v>46</v>
      </c>
      <c r="F500">
        <v>1</v>
      </c>
      <c r="G500" t="s">
        <v>21</v>
      </c>
      <c r="H500" t="s">
        <v>16</v>
      </c>
      <c r="I500" t="s">
        <v>7</v>
      </c>
      <c r="J500">
        <v>1</v>
      </c>
      <c r="K500" t="s">
        <v>24</v>
      </c>
      <c r="L500" t="s">
        <v>35</v>
      </c>
      <c r="M500" t="s">
        <v>51</v>
      </c>
      <c r="N500" t="s">
        <v>17</v>
      </c>
    </row>
    <row r="501" spans="1:14">
      <c r="A501">
        <v>26575</v>
      </c>
      <c r="B501" t="s">
        <v>42</v>
      </c>
      <c r="C501" t="s">
        <v>43</v>
      </c>
      <c r="D501" s="3">
        <v>40000</v>
      </c>
      <c r="E501" s="3" t="s">
        <v>45</v>
      </c>
      <c r="F501">
        <v>0</v>
      </c>
      <c r="G501" t="s">
        <v>30</v>
      </c>
      <c r="H501" t="s">
        <v>16</v>
      </c>
      <c r="I501" t="s">
        <v>48</v>
      </c>
      <c r="J501">
        <v>2</v>
      </c>
      <c r="K501" t="s">
        <v>29</v>
      </c>
      <c r="L501" t="s">
        <v>35</v>
      </c>
      <c r="M501" t="s">
        <v>52</v>
      </c>
      <c r="N501" t="s">
        <v>17</v>
      </c>
    </row>
    <row r="502" spans="1:14">
      <c r="A502">
        <v>15559</v>
      </c>
      <c r="B502" t="s">
        <v>41</v>
      </c>
      <c r="C502" t="s">
        <v>44</v>
      </c>
      <c r="D502" s="3">
        <v>60000</v>
      </c>
      <c r="E502" s="3" t="s">
        <v>46</v>
      </c>
      <c r="F502">
        <v>5</v>
      </c>
      <c r="G502" t="s">
        <v>15</v>
      </c>
      <c r="H502" t="s">
        <v>23</v>
      </c>
      <c r="I502" t="s">
        <v>7</v>
      </c>
      <c r="J502">
        <v>1</v>
      </c>
      <c r="K502" t="s">
        <v>24</v>
      </c>
      <c r="L502" t="s">
        <v>35</v>
      </c>
      <c r="M502" t="s">
        <v>51</v>
      </c>
      <c r="N502" t="s">
        <v>20</v>
      </c>
    </row>
    <row r="503" spans="1:14">
      <c r="A503">
        <v>19235</v>
      </c>
      <c r="B503" t="s">
        <v>41</v>
      </c>
      <c r="C503" t="s">
        <v>43</v>
      </c>
      <c r="D503" s="3">
        <v>50000</v>
      </c>
      <c r="E503" s="3" t="s">
        <v>45</v>
      </c>
      <c r="F503">
        <v>0</v>
      </c>
      <c r="G503" t="s">
        <v>34</v>
      </c>
      <c r="H503" t="s">
        <v>16</v>
      </c>
      <c r="I503" t="s">
        <v>7</v>
      </c>
      <c r="J503">
        <v>0</v>
      </c>
      <c r="K503" t="s">
        <v>18</v>
      </c>
      <c r="L503" t="s">
        <v>35</v>
      </c>
      <c r="M503" t="s">
        <v>52</v>
      </c>
      <c r="N503" t="s">
        <v>20</v>
      </c>
    </row>
    <row r="504" spans="1:14">
      <c r="A504">
        <v>15275</v>
      </c>
      <c r="B504" t="s">
        <v>41</v>
      </c>
      <c r="C504" t="s">
        <v>44</v>
      </c>
      <c r="D504" s="3">
        <v>40000</v>
      </c>
      <c r="E504" s="3" t="s">
        <v>45</v>
      </c>
      <c r="F504">
        <v>0</v>
      </c>
      <c r="G504" t="s">
        <v>21</v>
      </c>
      <c r="H504" t="s">
        <v>16</v>
      </c>
      <c r="I504" t="s">
        <v>7</v>
      </c>
      <c r="J504">
        <v>1</v>
      </c>
      <c r="K504" t="s">
        <v>26</v>
      </c>
      <c r="L504" t="s">
        <v>35</v>
      </c>
      <c r="M504" t="s">
        <v>52</v>
      </c>
      <c r="N504" t="s">
        <v>20</v>
      </c>
    </row>
    <row r="505" spans="1:14">
      <c r="A505">
        <v>20339</v>
      </c>
      <c r="B505" t="s">
        <v>41</v>
      </c>
      <c r="C505" t="s">
        <v>43</v>
      </c>
      <c r="D505" s="3">
        <v>130000</v>
      </c>
      <c r="E505" s="3" t="s">
        <v>47</v>
      </c>
      <c r="F505">
        <v>1</v>
      </c>
      <c r="G505" t="s">
        <v>15</v>
      </c>
      <c r="H505" t="s">
        <v>31</v>
      </c>
      <c r="I505" t="s">
        <v>7</v>
      </c>
      <c r="J505">
        <v>4</v>
      </c>
      <c r="K505" t="s">
        <v>24</v>
      </c>
      <c r="L505" t="s">
        <v>35</v>
      </c>
      <c r="M505" t="s">
        <v>49</v>
      </c>
      <c r="N505" t="s">
        <v>17</v>
      </c>
    </row>
    <row r="506" spans="1:14">
      <c r="A506">
        <v>25405</v>
      </c>
      <c r="B506" t="s">
        <v>41</v>
      </c>
      <c r="C506" t="s">
        <v>44</v>
      </c>
      <c r="D506" s="3">
        <v>70000</v>
      </c>
      <c r="E506" s="3" t="s">
        <v>46</v>
      </c>
      <c r="F506">
        <v>2</v>
      </c>
      <c r="G506" t="s">
        <v>15</v>
      </c>
      <c r="H506" t="s">
        <v>16</v>
      </c>
      <c r="I506" t="s">
        <v>7</v>
      </c>
      <c r="J506">
        <v>1</v>
      </c>
      <c r="K506" t="s">
        <v>24</v>
      </c>
      <c r="L506" t="s">
        <v>35</v>
      </c>
      <c r="M506" t="s">
        <v>49</v>
      </c>
      <c r="N506" t="s">
        <v>17</v>
      </c>
    </row>
    <row r="507" spans="1:14">
      <c r="A507">
        <v>15940</v>
      </c>
      <c r="B507" t="s">
        <v>41</v>
      </c>
      <c r="C507" t="s">
        <v>44</v>
      </c>
      <c r="D507" s="3">
        <v>100000</v>
      </c>
      <c r="E507" s="3" t="s">
        <v>46</v>
      </c>
      <c r="F507">
        <v>4</v>
      </c>
      <c r="G507" t="s">
        <v>21</v>
      </c>
      <c r="H507" t="s">
        <v>23</v>
      </c>
      <c r="I507" t="s">
        <v>7</v>
      </c>
      <c r="J507">
        <v>4</v>
      </c>
      <c r="K507" t="s">
        <v>18</v>
      </c>
      <c r="L507" t="s">
        <v>35</v>
      </c>
      <c r="M507" t="s">
        <v>49</v>
      </c>
      <c r="N507" t="s">
        <v>20</v>
      </c>
    </row>
    <row r="508" spans="1:14">
      <c r="A508">
        <v>25074</v>
      </c>
      <c r="B508" t="s">
        <v>41</v>
      </c>
      <c r="C508" t="s">
        <v>43</v>
      </c>
      <c r="D508" s="3">
        <v>70000</v>
      </c>
      <c r="E508" s="3" t="s">
        <v>46</v>
      </c>
      <c r="F508">
        <v>4</v>
      </c>
      <c r="G508" t="s">
        <v>15</v>
      </c>
      <c r="H508" t="s">
        <v>23</v>
      </c>
      <c r="I508" t="s">
        <v>7</v>
      </c>
      <c r="J508">
        <v>2</v>
      </c>
      <c r="K508" t="s">
        <v>24</v>
      </c>
      <c r="L508" t="s">
        <v>35</v>
      </c>
      <c r="M508" t="s">
        <v>49</v>
      </c>
      <c r="N508" t="s">
        <v>17</v>
      </c>
    </row>
    <row r="509" spans="1:14">
      <c r="A509">
        <v>24738</v>
      </c>
      <c r="B509" t="s">
        <v>41</v>
      </c>
      <c r="C509" t="s">
        <v>43</v>
      </c>
      <c r="D509" s="3">
        <v>40000</v>
      </c>
      <c r="E509" s="3" t="s">
        <v>45</v>
      </c>
      <c r="F509">
        <v>1</v>
      </c>
      <c r="G509" t="s">
        <v>21</v>
      </c>
      <c r="H509" t="s">
        <v>22</v>
      </c>
      <c r="I509" t="s">
        <v>7</v>
      </c>
      <c r="J509">
        <v>1</v>
      </c>
      <c r="K509" t="s">
        <v>29</v>
      </c>
      <c r="L509" t="s">
        <v>35</v>
      </c>
      <c r="M509" t="s">
        <v>51</v>
      </c>
      <c r="N509" t="s">
        <v>17</v>
      </c>
    </row>
    <row r="510" spans="1:14">
      <c r="A510">
        <v>16337</v>
      </c>
      <c r="B510" t="s">
        <v>41</v>
      </c>
      <c r="C510" t="s">
        <v>44</v>
      </c>
      <c r="D510" s="3">
        <v>60000</v>
      </c>
      <c r="E510" s="3" t="s">
        <v>46</v>
      </c>
      <c r="F510">
        <v>0</v>
      </c>
      <c r="G510" t="s">
        <v>21</v>
      </c>
      <c r="H510" t="s">
        <v>16</v>
      </c>
      <c r="I510" t="s">
        <v>48</v>
      </c>
      <c r="J510">
        <v>2</v>
      </c>
      <c r="K510" t="s">
        <v>29</v>
      </c>
      <c r="L510" t="s">
        <v>35</v>
      </c>
      <c r="M510" t="s">
        <v>52</v>
      </c>
      <c r="N510" t="s">
        <v>20</v>
      </c>
    </row>
    <row r="511" spans="1:14">
      <c r="A511">
        <v>24357</v>
      </c>
      <c r="B511" t="s">
        <v>41</v>
      </c>
      <c r="C511" t="s">
        <v>44</v>
      </c>
      <c r="D511" s="3">
        <v>80000</v>
      </c>
      <c r="E511" s="3" t="s">
        <v>46</v>
      </c>
      <c r="F511">
        <v>3</v>
      </c>
      <c r="G511" t="s">
        <v>15</v>
      </c>
      <c r="H511" t="s">
        <v>23</v>
      </c>
      <c r="I511" t="s">
        <v>7</v>
      </c>
      <c r="J511">
        <v>1</v>
      </c>
      <c r="K511" t="s">
        <v>24</v>
      </c>
      <c r="L511" t="s">
        <v>35</v>
      </c>
      <c r="M511" t="s">
        <v>51</v>
      </c>
      <c r="N511" t="s">
        <v>17</v>
      </c>
    </row>
    <row r="512" spans="1:14">
      <c r="A512">
        <v>18613</v>
      </c>
      <c r="B512" t="s">
        <v>42</v>
      </c>
      <c r="C512" t="s">
        <v>44</v>
      </c>
      <c r="D512" s="3">
        <v>70000</v>
      </c>
      <c r="E512" s="3" t="s">
        <v>46</v>
      </c>
      <c r="F512">
        <v>0</v>
      </c>
      <c r="G512" t="s">
        <v>15</v>
      </c>
      <c r="H512" t="s">
        <v>23</v>
      </c>
      <c r="I512" t="s">
        <v>48</v>
      </c>
      <c r="J512">
        <v>1</v>
      </c>
      <c r="K512" t="s">
        <v>24</v>
      </c>
      <c r="L512" t="s">
        <v>35</v>
      </c>
      <c r="M512" t="s">
        <v>49</v>
      </c>
      <c r="N512" t="s">
        <v>17</v>
      </c>
    </row>
    <row r="513" spans="1:14">
      <c r="A513">
        <v>12207</v>
      </c>
      <c r="B513" t="s">
        <v>42</v>
      </c>
      <c r="C513" t="s">
        <v>44</v>
      </c>
      <c r="D513" s="3">
        <v>80000</v>
      </c>
      <c r="E513" s="3" t="s">
        <v>46</v>
      </c>
      <c r="F513">
        <v>4</v>
      </c>
      <c r="G513" t="s">
        <v>15</v>
      </c>
      <c r="H513" t="s">
        <v>31</v>
      </c>
      <c r="I513" t="s">
        <v>7</v>
      </c>
      <c r="J513">
        <v>0</v>
      </c>
      <c r="K513" t="s">
        <v>26</v>
      </c>
      <c r="L513" t="s">
        <v>35</v>
      </c>
      <c r="M513" t="s">
        <v>53</v>
      </c>
      <c r="N513" t="s">
        <v>17</v>
      </c>
    </row>
    <row r="514" spans="1:14">
      <c r="A514">
        <v>18052</v>
      </c>
      <c r="B514" t="s">
        <v>41</v>
      </c>
      <c r="C514" t="s">
        <v>43</v>
      </c>
      <c r="D514" s="3">
        <v>60000</v>
      </c>
      <c r="E514" s="3" t="s">
        <v>46</v>
      </c>
      <c r="F514">
        <v>1</v>
      </c>
      <c r="G514" t="s">
        <v>21</v>
      </c>
      <c r="H514" t="s">
        <v>16</v>
      </c>
      <c r="I514" t="s">
        <v>7</v>
      </c>
      <c r="J514">
        <v>1</v>
      </c>
      <c r="K514" t="s">
        <v>18</v>
      </c>
      <c r="L514" t="s">
        <v>35</v>
      </c>
      <c r="M514" t="s">
        <v>51</v>
      </c>
      <c r="N514" t="s">
        <v>17</v>
      </c>
    </row>
    <row r="515" spans="1:14">
      <c r="A515">
        <v>13353</v>
      </c>
      <c r="B515" t="s">
        <v>42</v>
      </c>
      <c r="C515" t="s">
        <v>43</v>
      </c>
      <c r="D515" s="3">
        <v>60000</v>
      </c>
      <c r="E515" s="3" t="s">
        <v>46</v>
      </c>
      <c r="F515">
        <v>4</v>
      </c>
      <c r="G515" t="s">
        <v>34</v>
      </c>
      <c r="H515" t="s">
        <v>31</v>
      </c>
      <c r="I515" t="s">
        <v>7</v>
      </c>
      <c r="J515">
        <v>2</v>
      </c>
      <c r="K515" t="s">
        <v>33</v>
      </c>
      <c r="L515" t="s">
        <v>35</v>
      </c>
      <c r="M515" t="s">
        <v>50</v>
      </c>
      <c r="N515" t="s">
        <v>17</v>
      </c>
    </row>
    <row r="516" spans="1:14">
      <c r="A516">
        <v>19399</v>
      </c>
      <c r="B516" t="s">
        <v>42</v>
      </c>
      <c r="C516" t="s">
        <v>44</v>
      </c>
      <c r="D516" s="3">
        <v>40000</v>
      </c>
      <c r="E516" s="3" t="s">
        <v>45</v>
      </c>
      <c r="F516">
        <v>0</v>
      </c>
      <c r="G516" t="s">
        <v>15</v>
      </c>
      <c r="H516" t="s">
        <v>23</v>
      </c>
      <c r="I516" t="s">
        <v>48</v>
      </c>
      <c r="J516">
        <v>1</v>
      </c>
      <c r="K516" t="s">
        <v>24</v>
      </c>
      <c r="L516" t="s">
        <v>35</v>
      </c>
      <c r="M516" t="s">
        <v>51</v>
      </c>
      <c r="N516" t="s">
        <v>20</v>
      </c>
    </row>
    <row r="517" spans="1:14">
      <c r="A517">
        <v>16154</v>
      </c>
      <c r="B517" t="s">
        <v>41</v>
      </c>
      <c r="C517" t="s">
        <v>43</v>
      </c>
      <c r="D517" s="3">
        <v>70000</v>
      </c>
      <c r="E517" s="3" t="s">
        <v>46</v>
      </c>
      <c r="F517">
        <v>5</v>
      </c>
      <c r="G517" t="s">
        <v>15</v>
      </c>
      <c r="H517" t="s">
        <v>23</v>
      </c>
      <c r="I517" t="s">
        <v>7</v>
      </c>
      <c r="J517">
        <v>2</v>
      </c>
      <c r="K517" t="s">
        <v>24</v>
      </c>
      <c r="L517" t="s">
        <v>35</v>
      </c>
      <c r="M517" t="s">
        <v>51</v>
      </c>
      <c r="N517" t="s">
        <v>20</v>
      </c>
    </row>
    <row r="518" spans="1:14">
      <c r="A518">
        <v>22219</v>
      </c>
      <c r="B518" t="s">
        <v>41</v>
      </c>
      <c r="C518" t="s">
        <v>43</v>
      </c>
      <c r="D518" s="3">
        <v>60000</v>
      </c>
      <c r="E518" s="3" t="s">
        <v>46</v>
      </c>
      <c r="F518">
        <v>2</v>
      </c>
      <c r="G518" t="s">
        <v>30</v>
      </c>
      <c r="H518" t="s">
        <v>23</v>
      </c>
      <c r="I518" t="s">
        <v>7</v>
      </c>
      <c r="J518">
        <v>2</v>
      </c>
      <c r="K518" t="s">
        <v>26</v>
      </c>
      <c r="L518" t="s">
        <v>35</v>
      </c>
      <c r="M518" t="s">
        <v>51</v>
      </c>
      <c r="N518" t="s">
        <v>20</v>
      </c>
    </row>
    <row r="519" spans="1:14">
      <c r="A519">
        <v>17269</v>
      </c>
      <c r="B519" t="s">
        <v>42</v>
      </c>
      <c r="C519" t="s">
        <v>44</v>
      </c>
      <c r="D519" s="3">
        <v>60000</v>
      </c>
      <c r="E519" s="3" t="s">
        <v>46</v>
      </c>
      <c r="F519">
        <v>3</v>
      </c>
      <c r="G519" t="s">
        <v>15</v>
      </c>
      <c r="H519" t="s">
        <v>23</v>
      </c>
      <c r="I519" t="s">
        <v>48</v>
      </c>
      <c r="J519">
        <v>0</v>
      </c>
      <c r="K519" t="s">
        <v>18</v>
      </c>
      <c r="L519" t="s">
        <v>35</v>
      </c>
      <c r="M519" t="s">
        <v>51</v>
      </c>
      <c r="N519" t="s">
        <v>17</v>
      </c>
    </row>
    <row r="520" spans="1:14">
      <c r="A520">
        <v>23586</v>
      </c>
      <c r="B520" t="s">
        <v>41</v>
      </c>
      <c r="C520" t="s">
        <v>43</v>
      </c>
      <c r="D520" s="3">
        <v>80000</v>
      </c>
      <c r="E520" s="3" t="s">
        <v>46</v>
      </c>
      <c r="F520">
        <v>0</v>
      </c>
      <c r="G520" t="s">
        <v>15</v>
      </c>
      <c r="H520" t="s">
        <v>31</v>
      </c>
      <c r="I520" t="s">
        <v>7</v>
      </c>
      <c r="J520">
        <v>1</v>
      </c>
      <c r="K520" t="s">
        <v>29</v>
      </c>
      <c r="L520" t="s">
        <v>35</v>
      </c>
      <c r="M520" t="s">
        <v>52</v>
      </c>
      <c r="N520" t="s">
        <v>17</v>
      </c>
    </row>
    <row r="521" spans="1:14">
      <c r="A521">
        <v>15740</v>
      </c>
      <c r="B521" t="s">
        <v>41</v>
      </c>
      <c r="C521" t="s">
        <v>44</v>
      </c>
      <c r="D521" s="3">
        <v>80000</v>
      </c>
      <c r="E521" s="3" t="s">
        <v>46</v>
      </c>
      <c r="F521">
        <v>5</v>
      </c>
      <c r="G521" t="s">
        <v>15</v>
      </c>
      <c r="H521" t="s">
        <v>31</v>
      </c>
      <c r="I521" t="s">
        <v>7</v>
      </c>
      <c r="J521">
        <v>2</v>
      </c>
      <c r="K521" t="s">
        <v>29</v>
      </c>
      <c r="L521" t="s">
        <v>35</v>
      </c>
      <c r="M521" t="s">
        <v>50</v>
      </c>
      <c r="N521" t="s">
        <v>20</v>
      </c>
    </row>
    <row r="522" spans="1:14">
      <c r="A522">
        <v>27638</v>
      </c>
      <c r="B522" t="s">
        <v>42</v>
      </c>
      <c r="C522" t="s">
        <v>44</v>
      </c>
      <c r="D522" s="3">
        <v>100000</v>
      </c>
      <c r="E522" s="3" t="s">
        <v>46</v>
      </c>
      <c r="F522">
        <v>1</v>
      </c>
      <c r="G522" t="s">
        <v>21</v>
      </c>
      <c r="H522" t="s">
        <v>23</v>
      </c>
      <c r="I522" t="s">
        <v>48</v>
      </c>
      <c r="J522">
        <v>3</v>
      </c>
      <c r="K522" t="s">
        <v>29</v>
      </c>
      <c r="L522" t="s">
        <v>35</v>
      </c>
      <c r="M522" t="s">
        <v>49</v>
      </c>
      <c r="N522" t="s">
        <v>20</v>
      </c>
    </row>
    <row r="523" spans="1:14">
      <c r="A523">
        <v>18976</v>
      </c>
      <c r="B523" t="s">
        <v>42</v>
      </c>
      <c r="C523" t="s">
        <v>44</v>
      </c>
      <c r="D523" s="3">
        <v>40000</v>
      </c>
      <c r="E523" s="3" t="s">
        <v>45</v>
      </c>
      <c r="F523">
        <v>4</v>
      </c>
      <c r="G523" t="s">
        <v>30</v>
      </c>
      <c r="H523" t="s">
        <v>23</v>
      </c>
      <c r="I523" t="s">
        <v>7</v>
      </c>
      <c r="J523">
        <v>2</v>
      </c>
      <c r="K523" t="s">
        <v>33</v>
      </c>
      <c r="L523" t="s">
        <v>35</v>
      </c>
      <c r="M523" t="s">
        <v>50</v>
      </c>
      <c r="N523" t="s">
        <v>17</v>
      </c>
    </row>
    <row r="524" spans="1:14">
      <c r="A524">
        <v>19413</v>
      </c>
      <c r="B524" t="s">
        <v>42</v>
      </c>
      <c r="C524" t="s">
        <v>44</v>
      </c>
      <c r="D524" s="3">
        <v>60000</v>
      </c>
      <c r="E524" s="3" t="s">
        <v>46</v>
      </c>
      <c r="F524">
        <v>3</v>
      </c>
      <c r="G524" t="s">
        <v>15</v>
      </c>
      <c r="H524" t="s">
        <v>23</v>
      </c>
      <c r="I524" t="s">
        <v>48</v>
      </c>
      <c r="J524">
        <v>1</v>
      </c>
      <c r="K524" t="s">
        <v>18</v>
      </c>
      <c r="L524" t="s">
        <v>35</v>
      </c>
      <c r="M524" t="s">
        <v>51</v>
      </c>
      <c r="N524" t="s">
        <v>17</v>
      </c>
    </row>
    <row r="525" spans="1:14">
      <c r="A525">
        <v>13283</v>
      </c>
      <c r="B525" t="s">
        <v>41</v>
      </c>
      <c r="C525" t="s">
        <v>44</v>
      </c>
      <c r="D525" s="3">
        <v>80000</v>
      </c>
      <c r="E525" s="3" t="s">
        <v>46</v>
      </c>
      <c r="F525">
        <v>3</v>
      </c>
      <c r="G525" t="s">
        <v>21</v>
      </c>
      <c r="H525" t="s">
        <v>23</v>
      </c>
      <c r="I525" t="s">
        <v>48</v>
      </c>
      <c r="J525">
        <v>2</v>
      </c>
      <c r="K525" t="s">
        <v>18</v>
      </c>
      <c r="L525" t="s">
        <v>35</v>
      </c>
      <c r="M525" t="s">
        <v>51</v>
      </c>
      <c r="N525" t="s">
        <v>17</v>
      </c>
    </row>
    <row r="526" spans="1:14">
      <c r="A526">
        <v>17471</v>
      </c>
      <c r="B526" t="s">
        <v>42</v>
      </c>
      <c r="C526" t="s">
        <v>43</v>
      </c>
      <c r="D526" s="3">
        <v>80000</v>
      </c>
      <c r="E526" s="3" t="s">
        <v>46</v>
      </c>
      <c r="F526">
        <v>4</v>
      </c>
      <c r="G526" t="s">
        <v>34</v>
      </c>
      <c r="H526" t="s">
        <v>31</v>
      </c>
      <c r="I526" t="s">
        <v>7</v>
      </c>
      <c r="J526">
        <v>2</v>
      </c>
      <c r="K526" t="s">
        <v>26</v>
      </c>
      <c r="L526" t="s">
        <v>35</v>
      </c>
      <c r="M526" t="s">
        <v>53</v>
      </c>
      <c r="N526" t="s">
        <v>20</v>
      </c>
    </row>
    <row r="527" spans="1:14">
      <c r="A527">
        <v>16791</v>
      </c>
      <c r="B527" t="s">
        <v>42</v>
      </c>
      <c r="C527" t="s">
        <v>44</v>
      </c>
      <c r="D527" s="3">
        <v>60000</v>
      </c>
      <c r="E527" s="3" t="s">
        <v>46</v>
      </c>
      <c r="F527">
        <v>5</v>
      </c>
      <c r="G527" t="s">
        <v>15</v>
      </c>
      <c r="H527" t="s">
        <v>31</v>
      </c>
      <c r="I527" t="s">
        <v>7</v>
      </c>
      <c r="J527">
        <v>3</v>
      </c>
      <c r="K527" t="s">
        <v>33</v>
      </c>
      <c r="L527" t="s">
        <v>35</v>
      </c>
      <c r="M527" t="s">
        <v>50</v>
      </c>
      <c r="N527" t="s">
        <v>17</v>
      </c>
    </row>
    <row r="528" spans="1:14">
      <c r="A528">
        <v>15382</v>
      </c>
      <c r="B528" t="s">
        <v>41</v>
      </c>
      <c r="C528" t="s">
        <v>43</v>
      </c>
      <c r="D528" s="3">
        <v>110000</v>
      </c>
      <c r="E528" s="3" t="s">
        <v>46</v>
      </c>
      <c r="F528">
        <v>1</v>
      </c>
      <c r="G528" t="s">
        <v>15</v>
      </c>
      <c r="H528" t="s">
        <v>31</v>
      </c>
      <c r="I528" t="s">
        <v>7</v>
      </c>
      <c r="J528">
        <v>2</v>
      </c>
      <c r="K528" t="s">
        <v>29</v>
      </c>
      <c r="L528" t="s">
        <v>35</v>
      </c>
      <c r="M528" t="s">
        <v>49</v>
      </c>
      <c r="N528" t="s">
        <v>20</v>
      </c>
    </row>
    <row r="529" spans="1:14">
      <c r="A529">
        <v>11641</v>
      </c>
      <c r="B529" t="s">
        <v>41</v>
      </c>
      <c r="C529" t="s">
        <v>44</v>
      </c>
      <c r="D529" s="3">
        <v>50000</v>
      </c>
      <c r="E529" s="3" t="s">
        <v>45</v>
      </c>
      <c r="F529">
        <v>1</v>
      </c>
      <c r="G529" t="s">
        <v>15</v>
      </c>
      <c r="H529" t="s">
        <v>16</v>
      </c>
      <c r="I529" t="s">
        <v>7</v>
      </c>
      <c r="J529">
        <v>0</v>
      </c>
      <c r="K529" t="s">
        <v>18</v>
      </c>
      <c r="L529" t="s">
        <v>35</v>
      </c>
      <c r="M529" t="s">
        <v>49</v>
      </c>
      <c r="N529" t="s">
        <v>20</v>
      </c>
    </row>
    <row r="530" spans="1:14">
      <c r="A530">
        <v>11935</v>
      </c>
      <c r="B530" t="s">
        <v>42</v>
      </c>
      <c r="C530" t="s">
        <v>43</v>
      </c>
      <c r="D530" s="3">
        <v>30000</v>
      </c>
      <c r="E530" s="3" t="s">
        <v>45</v>
      </c>
      <c r="F530">
        <v>0</v>
      </c>
      <c r="G530" t="s">
        <v>21</v>
      </c>
      <c r="H530" t="s">
        <v>16</v>
      </c>
      <c r="I530" t="s">
        <v>7</v>
      </c>
      <c r="J530">
        <v>1</v>
      </c>
      <c r="K530" t="s">
        <v>26</v>
      </c>
      <c r="L530" t="s">
        <v>35</v>
      </c>
      <c r="M530" t="s">
        <v>52</v>
      </c>
      <c r="N530" t="s">
        <v>20</v>
      </c>
    </row>
    <row r="531" spans="1:14">
      <c r="A531">
        <v>13233</v>
      </c>
      <c r="B531" t="s">
        <v>41</v>
      </c>
      <c r="C531" t="s">
        <v>44</v>
      </c>
      <c r="D531" s="3">
        <v>60000</v>
      </c>
      <c r="E531" s="3" t="s">
        <v>46</v>
      </c>
      <c r="F531">
        <v>2</v>
      </c>
      <c r="G531" t="s">
        <v>21</v>
      </c>
      <c r="H531" t="s">
        <v>23</v>
      </c>
      <c r="I531" t="s">
        <v>7</v>
      </c>
      <c r="J531">
        <v>1</v>
      </c>
      <c r="K531" t="s">
        <v>33</v>
      </c>
      <c r="L531" t="s">
        <v>35</v>
      </c>
      <c r="M531" t="s">
        <v>50</v>
      </c>
      <c r="N531" t="s">
        <v>17</v>
      </c>
    </row>
    <row r="532" spans="1:14">
      <c r="A532">
        <v>25909</v>
      </c>
      <c r="B532" t="s">
        <v>41</v>
      </c>
      <c r="C532" t="s">
        <v>44</v>
      </c>
      <c r="D532" s="3">
        <v>60000</v>
      </c>
      <c r="E532" s="3" t="s">
        <v>46</v>
      </c>
      <c r="F532">
        <v>0</v>
      </c>
      <c r="G532" t="s">
        <v>21</v>
      </c>
      <c r="H532" t="s">
        <v>16</v>
      </c>
      <c r="I532" t="s">
        <v>7</v>
      </c>
      <c r="J532">
        <v>1</v>
      </c>
      <c r="K532" t="s">
        <v>26</v>
      </c>
      <c r="L532" t="s">
        <v>35</v>
      </c>
      <c r="M532" t="s">
        <v>52</v>
      </c>
      <c r="N532" t="s">
        <v>17</v>
      </c>
    </row>
    <row r="533" spans="1:14">
      <c r="A533">
        <v>14092</v>
      </c>
      <c r="B533" t="s">
        <v>42</v>
      </c>
      <c r="C533" t="s">
        <v>44</v>
      </c>
      <c r="D533" s="3">
        <v>30000</v>
      </c>
      <c r="E533" s="3" t="s">
        <v>45</v>
      </c>
      <c r="F533">
        <v>0</v>
      </c>
      <c r="G533" t="s">
        <v>32</v>
      </c>
      <c r="H533" t="s">
        <v>22</v>
      </c>
      <c r="I533" t="s">
        <v>7</v>
      </c>
      <c r="J533">
        <v>2</v>
      </c>
      <c r="K533" t="s">
        <v>26</v>
      </c>
      <c r="L533" t="s">
        <v>35</v>
      </c>
      <c r="M533" t="s">
        <v>52</v>
      </c>
      <c r="N533" t="s">
        <v>20</v>
      </c>
    </row>
    <row r="534" spans="1:14">
      <c r="A534">
        <v>29143</v>
      </c>
      <c r="B534" t="s">
        <v>42</v>
      </c>
      <c r="C534" t="s">
        <v>43</v>
      </c>
      <c r="D534" s="3">
        <v>60000</v>
      </c>
      <c r="E534" s="3" t="s">
        <v>46</v>
      </c>
      <c r="F534">
        <v>1</v>
      </c>
      <c r="G534" t="s">
        <v>15</v>
      </c>
      <c r="H534" t="s">
        <v>23</v>
      </c>
      <c r="I534" t="s">
        <v>48</v>
      </c>
      <c r="J534">
        <v>1</v>
      </c>
      <c r="K534" t="s">
        <v>18</v>
      </c>
      <c r="L534" t="s">
        <v>35</v>
      </c>
      <c r="M534" t="s">
        <v>49</v>
      </c>
      <c r="N534" t="s">
        <v>17</v>
      </c>
    </row>
    <row r="535" spans="1:14">
      <c r="A535">
        <v>24941</v>
      </c>
      <c r="B535" t="s">
        <v>41</v>
      </c>
      <c r="C535" t="s">
        <v>44</v>
      </c>
      <c r="D535" s="3">
        <v>60000</v>
      </c>
      <c r="E535" s="3" t="s">
        <v>46</v>
      </c>
      <c r="F535">
        <v>3</v>
      </c>
      <c r="G535" t="s">
        <v>15</v>
      </c>
      <c r="H535" t="s">
        <v>31</v>
      </c>
      <c r="I535" t="s">
        <v>7</v>
      </c>
      <c r="J535">
        <v>2</v>
      </c>
      <c r="K535" t="s">
        <v>33</v>
      </c>
      <c r="L535" t="s">
        <v>35</v>
      </c>
      <c r="M535" t="s">
        <v>53</v>
      </c>
      <c r="N535" t="s">
        <v>20</v>
      </c>
    </row>
    <row r="536" spans="1:14">
      <c r="A536">
        <v>24637</v>
      </c>
      <c r="B536" t="s">
        <v>41</v>
      </c>
      <c r="C536" t="s">
        <v>44</v>
      </c>
      <c r="D536" s="3">
        <v>40000</v>
      </c>
      <c r="E536" s="3" t="s">
        <v>45</v>
      </c>
      <c r="F536">
        <v>4</v>
      </c>
      <c r="G536" t="s">
        <v>30</v>
      </c>
      <c r="H536" t="s">
        <v>23</v>
      </c>
      <c r="I536" t="s">
        <v>7</v>
      </c>
      <c r="J536">
        <v>2</v>
      </c>
      <c r="K536" t="s">
        <v>33</v>
      </c>
      <c r="L536" t="s">
        <v>35</v>
      </c>
      <c r="M536" t="s">
        <v>50</v>
      </c>
      <c r="N536" t="s">
        <v>20</v>
      </c>
    </row>
    <row r="537" spans="1:14">
      <c r="A537">
        <v>23893</v>
      </c>
      <c r="B537" t="s">
        <v>41</v>
      </c>
      <c r="C537" t="s">
        <v>44</v>
      </c>
      <c r="D537" s="3">
        <v>50000</v>
      </c>
      <c r="E537" s="3" t="s">
        <v>45</v>
      </c>
      <c r="F537">
        <v>3</v>
      </c>
      <c r="G537" t="s">
        <v>15</v>
      </c>
      <c r="H537" t="s">
        <v>16</v>
      </c>
      <c r="I537" t="s">
        <v>7</v>
      </c>
      <c r="J537">
        <v>3</v>
      </c>
      <c r="K537" t="s">
        <v>33</v>
      </c>
      <c r="L537" t="s">
        <v>35</v>
      </c>
      <c r="M537" t="s">
        <v>49</v>
      </c>
      <c r="N537" t="s">
        <v>20</v>
      </c>
    </row>
    <row r="538" spans="1:14">
      <c r="A538">
        <v>13907</v>
      </c>
      <c r="B538" t="s">
        <v>42</v>
      </c>
      <c r="C538" t="s">
        <v>43</v>
      </c>
      <c r="D538" s="3">
        <v>80000</v>
      </c>
      <c r="E538" s="3" t="s">
        <v>46</v>
      </c>
      <c r="F538">
        <v>3</v>
      </c>
      <c r="G538" t="s">
        <v>15</v>
      </c>
      <c r="H538" t="s">
        <v>16</v>
      </c>
      <c r="I538" t="s">
        <v>7</v>
      </c>
      <c r="J538">
        <v>1</v>
      </c>
      <c r="K538" t="s">
        <v>18</v>
      </c>
      <c r="L538" t="s">
        <v>35</v>
      </c>
      <c r="M538" t="s">
        <v>49</v>
      </c>
      <c r="N538" t="s">
        <v>17</v>
      </c>
    </row>
    <row r="539" spans="1:14">
      <c r="A539">
        <v>14900</v>
      </c>
      <c r="B539" t="s">
        <v>41</v>
      </c>
      <c r="C539" t="s">
        <v>43</v>
      </c>
      <c r="D539" s="3">
        <v>40000</v>
      </c>
      <c r="E539" s="3" t="s">
        <v>45</v>
      </c>
      <c r="F539">
        <v>1</v>
      </c>
      <c r="G539" t="s">
        <v>21</v>
      </c>
      <c r="H539" t="s">
        <v>22</v>
      </c>
      <c r="I539" t="s">
        <v>7</v>
      </c>
      <c r="J539">
        <v>1</v>
      </c>
      <c r="K539" t="s">
        <v>29</v>
      </c>
      <c r="L539" t="s">
        <v>35</v>
      </c>
      <c r="M539" t="s">
        <v>51</v>
      </c>
      <c r="N539" t="s">
        <v>17</v>
      </c>
    </row>
    <row r="540" spans="1:14">
      <c r="A540">
        <v>11262</v>
      </c>
      <c r="B540" t="s">
        <v>41</v>
      </c>
      <c r="C540" t="s">
        <v>43</v>
      </c>
      <c r="D540" s="3">
        <v>80000</v>
      </c>
      <c r="E540" s="3" t="s">
        <v>46</v>
      </c>
      <c r="F540">
        <v>4</v>
      </c>
      <c r="G540" t="s">
        <v>15</v>
      </c>
      <c r="H540" t="s">
        <v>31</v>
      </c>
      <c r="I540" t="s">
        <v>7</v>
      </c>
      <c r="J540">
        <v>0</v>
      </c>
      <c r="K540" t="s">
        <v>18</v>
      </c>
      <c r="L540" t="s">
        <v>35</v>
      </c>
      <c r="M540" t="s">
        <v>49</v>
      </c>
      <c r="N540" t="s">
        <v>20</v>
      </c>
    </row>
    <row r="541" spans="1:14">
      <c r="A541">
        <v>22294</v>
      </c>
      <c r="B541" t="s">
        <v>42</v>
      </c>
      <c r="C541" t="s">
        <v>43</v>
      </c>
      <c r="D541" s="3">
        <v>70000</v>
      </c>
      <c r="E541" s="3" t="s">
        <v>46</v>
      </c>
      <c r="F541">
        <v>0</v>
      </c>
      <c r="G541" t="s">
        <v>15</v>
      </c>
      <c r="H541" t="s">
        <v>23</v>
      </c>
      <c r="I541" t="s">
        <v>48</v>
      </c>
      <c r="J541">
        <v>1</v>
      </c>
      <c r="K541" t="s">
        <v>24</v>
      </c>
      <c r="L541" t="s">
        <v>35</v>
      </c>
      <c r="M541" t="s">
        <v>49</v>
      </c>
      <c r="N541" t="s">
        <v>17</v>
      </c>
    </row>
    <row r="542" spans="1:14">
      <c r="A542">
        <v>12195</v>
      </c>
      <c r="B542" t="s">
        <v>42</v>
      </c>
      <c r="C542" t="s">
        <v>43</v>
      </c>
      <c r="D542" s="3">
        <v>70000</v>
      </c>
      <c r="E542" s="3" t="s">
        <v>46</v>
      </c>
      <c r="F542">
        <v>3</v>
      </c>
      <c r="G542" t="s">
        <v>34</v>
      </c>
      <c r="H542" t="s">
        <v>31</v>
      </c>
      <c r="I542" t="s">
        <v>7</v>
      </c>
      <c r="J542">
        <v>2</v>
      </c>
      <c r="K542" t="s">
        <v>29</v>
      </c>
      <c r="L542" t="s">
        <v>35</v>
      </c>
      <c r="M542" t="s">
        <v>51</v>
      </c>
      <c r="N542" t="s">
        <v>20</v>
      </c>
    </row>
    <row r="543" spans="1:14">
      <c r="A543">
        <v>25375</v>
      </c>
      <c r="B543" t="s">
        <v>41</v>
      </c>
      <c r="C543" t="s">
        <v>44</v>
      </c>
      <c r="D543" s="3">
        <v>50000</v>
      </c>
      <c r="E543" s="3" t="s">
        <v>45</v>
      </c>
      <c r="F543">
        <v>1</v>
      </c>
      <c r="G543" t="s">
        <v>34</v>
      </c>
      <c r="H543" t="s">
        <v>16</v>
      </c>
      <c r="I543" t="s">
        <v>7</v>
      </c>
      <c r="J543">
        <v>0</v>
      </c>
      <c r="K543" t="s">
        <v>29</v>
      </c>
      <c r="L543" t="s">
        <v>35</v>
      </c>
      <c r="M543" t="s">
        <v>52</v>
      </c>
      <c r="N543" t="s">
        <v>20</v>
      </c>
    </row>
    <row r="544" spans="1:14">
      <c r="A544">
        <v>11143</v>
      </c>
      <c r="B544" t="s">
        <v>41</v>
      </c>
      <c r="C544" t="s">
        <v>44</v>
      </c>
      <c r="D544" s="3">
        <v>40000</v>
      </c>
      <c r="E544" s="3" t="s">
        <v>45</v>
      </c>
      <c r="F544">
        <v>0</v>
      </c>
      <c r="G544" t="s">
        <v>30</v>
      </c>
      <c r="H544" t="s">
        <v>16</v>
      </c>
      <c r="I544" t="s">
        <v>7</v>
      </c>
      <c r="J544">
        <v>2</v>
      </c>
      <c r="K544" t="s">
        <v>26</v>
      </c>
      <c r="L544" t="s">
        <v>35</v>
      </c>
      <c r="M544" t="s">
        <v>52</v>
      </c>
      <c r="N544" t="s">
        <v>20</v>
      </c>
    </row>
    <row r="545" spans="1:14">
      <c r="A545">
        <v>25898</v>
      </c>
      <c r="B545" t="s">
        <v>41</v>
      </c>
      <c r="C545" t="s">
        <v>43</v>
      </c>
      <c r="D545" s="3">
        <v>70000</v>
      </c>
      <c r="E545" s="3" t="s">
        <v>46</v>
      </c>
      <c r="F545">
        <v>2</v>
      </c>
      <c r="G545" t="s">
        <v>30</v>
      </c>
      <c r="H545" t="s">
        <v>23</v>
      </c>
      <c r="I545" t="s">
        <v>7</v>
      </c>
      <c r="J545">
        <v>2</v>
      </c>
      <c r="K545" t="s">
        <v>24</v>
      </c>
      <c r="L545" t="s">
        <v>35</v>
      </c>
      <c r="M545" t="s">
        <v>51</v>
      </c>
      <c r="N545" t="s">
        <v>20</v>
      </c>
    </row>
    <row r="546" spans="1:14">
      <c r="A546">
        <v>24397</v>
      </c>
      <c r="B546" t="s">
        <v>42</v>
      </c>
      <c r="C546" t="s">
        <v>44</v>
      </c>
      <c r="D546" s="3">
        <v>120000</v>
      </c>
      <c r="E546" s="3" t="s">
        <v>47</v>
      </c>
      <c r="F546">
        <v>2</v>
      </c>
      <c r="G546" t="s">
        <v>15</v>
      </c>
      <c r="H546" t="s">
        <v>31</v>
      </c>
      <c r="I546" t="s">
        <v>48</v>
      </c>
      <c r="J546">
        <v>4</v>
      </c>
      <c r="K546" t="s">
        <v>29</v>
      </c>
      <c r="L546" t="s">
        <v>35</v>
      </c>
      <c r="M546" t="s">
        <v>49</v>
      </c>
      <c r="N546" t="s">
        <v>20</v>
      </c>
    </row>
    <row r="547" spans="1:14">
      <c r="A547">
        <v>19758</v>
      </c>
      <c r="B547" t="s">
        <v>42</v>
      </c>
      <c r="C547" t="s">
        <v>44</v>
      </c>
      <c r="D547" s="3">
        <v>60000</v>
      </c>
      <c r="E547" s="3" t="s">
        <v>46</v>
      </c>
      <c r="F547">
        <v>0</v>
      </c>
      <c r="G547" t="s">
        <v>21</v>
      </c>
      <c r="H547" t="s">
        <v>16</v>
      </c>
      <c r="I547" t="s">
        <v>48</v>
      </c>
      <c r="J547">
        <v>2</v>
      </c>
      <c r="K547" t="s">
        <v>29</v>
      </c>
      <c r="L547" t="s">
        <v>35</v>
      </c>
      <c r="M547" t="s">
        <v>52</v>
      </c>
      <c r="N547" t="s">
        <v>20</v>
      </c>
    </row>
    <row r="548" spans="1:14">
      <c r="A548">
        <v>15529</v>
      </c>
      <c r="B548" t="s">
        <v>41</v>
      </c>
      <c r="C548" t="s">
        <v>44</v>
      </c>
      <c r="D548" s="3">
        <v>60000</v>
      </c>
      <c r="E548" s="3" t="s">
        <v>46</v>
      </c>
      <c r="F548">
        <v>4</v>
      </c>
      <c r="G548" t="s">
        <v>15</v>
      </c>
      <c r="H548" t="s">
        <v>23</v>
      </c>
      <c r="I548" t="s">
        <v>7</v>
      </c>
      <c r="J548">
        <v>2</v>
      </c>
      <c r="K548" t="s">
        <v>24</v>
      </c>
      <c r="L548" t="s">
        <v>35</v>
      </c>
      <c r="M548" t="s">
        <v>49</v>
      </c>
      <c r="N548" t="s">
        <v>17</v>
      </c>
    </row>
    <row r="549" spans="1:14">
      <c r="A549">
        <v>19884</v>
      </c>
      <c r="B549" t="s">
        <v>41</v>
      </c>
      <c r="C549" t="s">
        <v>44</v>
      </c>
      <c r="D549" s="3">
        <v>60000</v>
      </c>
      <c r="E549" s="3" t="s">
        <v>46</v>
      </c>
      <c r="F549">
        <v>2</v>
      </c>
      <c r="G549" t="s">
        <v>30</v>
      </c>
      <c r="H549" t="s">
        <v>23</v>
      </c>
      <c r="I549" t="s">
        <v>7</v>
      </c>
      <c r="J549">
        <v>2</v>
      </c>
      <c r="K549" t="s">
        <v>24</v>
      </c>
      <c r="L549" t="s">
        <v>35</v>
      </c>
      <c r="M549" t="s">
        <v>50</v>
      </c>
      <c r="N549" t="s">
        <v>17</v>
      </c>
    </row>
    <row r="550" spans="1:14">
      <c r="A550">
        <v>18674</v>
      </c>
      <c r="B550" t="s">
        <v>42</v>
      </c>
      <c r="C550" t="s">
        <v>43</v>
      </c>
      <c r="D550" s="3">
        <v>80000</v>
      </c>
      <c r="E550" s="3" t="s">
        <v>46</v>
      </c>
      <c r="F550">
        <v>4</v>
      </c>
      <c r="G550" t="s">
        <v>34</v>
      </c>
      <c r="H550" t="s">
        <v>16</v>
      </c>
      <c r="I550" t="s">
        <v>48</v>
      </c>
      <c r="J550">
        <v>0</v>
      </c>
      <c r="K550" t="s">
        <v>18</v>
      </c>
      <c r="L550" t="s">
        <v>35</v>
      </c>
      <c r="M550" t="s">
        <v>51</v>
      </c>
      <c r="N550" t="s">
        <v>20</v>
      </c>
    </row>
    <row r="551" spans="1:14">
      <c r="A551">
        <v>13453</v>
      </c>
      <c r="B551" t="s">
        <v>41</v>
      </c>
      <c r="C551" t="s">
        <v>43</v>
      </c>
      <c r="D551" s="3">
        <v>130000</v>
      </c>
      <c r="E551" s="3" t="s">
        <v>47</v>
      </c>
      <c r="F551">
        <v>3</v>
      </c>
      <c r="G551" t="s">
        <v>15</v>
      </c>
      <c r="H551" t="s">
        <v>31</v>
      </c>
      <c r="I551" t="s">
        <v>7</v>
      </c>
      <c r="J551">
        <v>3</v>
      </c>
      <c r="K551" t="s">
        <v>18</v>
      </c>
      <c r="L551" t="s">
        <v>35</v>
      </c>
      <c r="M551" t="s">
        <v>51</v>
      </c>
      <c r="N551" t="s">
        <v>17</v>
      </c>
    </row>
    <row r="552" spans="1:14">
      <c r="A552">
        <v>14063</v>
      </c>
      <c r="B552" t="s">
        <v>42</v>
      </c>
      <c r="C552" t="s">
        <v>43</v>
      </c>
      <c r="D552" s="3">
        <v>70000</v>
      </c>
      <c r="E552" s="3" t="s">
        <v>46</v>
      </c>
      <c r="F552">
        <v>0</v>
      </c>
      <c r="G552" t="s">
        <v>15</v>
      </c>
      <c r="H552" t="s">
        <v>23</v>
      </c>
      <c r="I552" t="s">
        <v>48</v>
      </c>
      <c r="J552">
        <v>1</v>
      </c>
      <c r="K552" t="s">
        <v>18</v>
      </c>
      <c r="L552" t="s">
        <v>27</v>
      </c>
      <c r="M552" t="s">
        <v>49</v>
      </c>
      <c r="N552" t="s">
        <v>17</v>
      </c>
    </row>
    <row r="553" spans="1:14">
      <c r="A553">
        <v>27393</v>
      </c>
      <c r="B553" t="s">
        <v>41</v>
      </c>
      <c r="C553" t="s">
        <v>43</v>
      </c>
      <c r="D553" s="3">
        <v>50000</v>
      </c>
      <c r="E553" s="3" t="s">
        <v>45</v>
      </c>
      <c r="F553">
        <v>4</v>
      </c>
      <c r="G553" t="s">
        <v>15</v>
      </c>
      <c r="H553" t="s">
        <v>31</v>
      </c>
      <c r="I553" t="s">
        <v>7</v>
      </c>
      <c r="J553">
        <v>2</v>
      </c>
      <c r="K553" t="s">
        <v>33</v>
      </c>
      <c r="L553" t="s">
        <v>35</v>
      </c>
      <c r="M553" t="s">
        <v>50</v>
      </c>
      <c r="N553" t="s">
        <v>20</v>
      </c>
    </row>
    <row r="554" spans="1:14">
      <c r="A554">
        <v>14417</v>
      </c>
      <c r="B554" t="s">
        <v>42</v>
      </c>
      <c r="C554" t="s">
        <v>44</v>
      </c>
      <c r="D554" s="3">
        <v>60000</v>
      </c>
      <c r="E554" s="3" t="s">
        <v>46</v>
      </c>
      <c r="F554">
        <v>3</v>
      </c>
      <c r="G554" t="s">
        <v>30</v>
      </c>
      <c r="H554" t="s">
        <v>23</v>
      </c>
      <c r="I554" t="s">
        <v>7</v>
      </c>
      <c r="J554">
        <v>2</v>
      </c>
      <c r="K554" t="s">
        <v>33</v>
      </c>
      <c r="L554" t="s">
        <v>35</v>
      </c>
      <c r="M554" t="s">
        <v>51</v>
      </c>
      <c r="N554" t="s">
        <v>17</v>
      </c>
    </row>
    <row r="555" spans="1:14">
      <c r="A555">
        <v>17533</v>
      </c>
      <c r="B555" t="s">
        <v>41</v>
      </c>
      <c r="C555" t="s">
        <v>44</v>
      </c>
      <c r="D555" s="3">
        <v>40000</v>
      </c>
      <c r="E555" s="3" t="s">
        <v>45</v>
      </c>
      <c r="F555">
        <v>3</v>
      </c>
      <c r="G555" t="s">
        <v>21</v>
      </c>
      <c r="H555" t="s">
        <v>23</v>
      </c>
      <c r="I555" t="s">
        <v>48</v>
      </c>
      <c r="J555">
        <v>2</v>
      </c>
      <c r="K555" t="s">
        <v>26</v>
      </c>
      <c r="L555" t="s">
        <v>35</v>
      </c>
      <c r="M555" t="s">
        <v>53</v>
      </c>
      <c r="N555" t="s">
        <v>17</v>
      </c>
    </row>
    <row r="556" spans="1:14">
      <c r="A556">
        <v>18580</v>
      </c>
      <c r="B556" t="s">
        <v>41</v>
      </c>
      <c r="C556" t="s">
        <v>43</v>
      </c>
      <c r="D556" s="3">
        <v>60000</v>
      </c>
      <c r="E556" s="3" t="s">
        <v>46</v>
      </c>
      <c r="F556">
        <v>2</v>
      </c>
      <c r="G556" t="s">
        <v>34</v>
      </c>
      <c r="H556" t="s">
        <v>23</v>
      </c>
      <c r="I556" t="s">
        <v>7</v>
      </c>
      <c r="J556">
        <v>0</v>
      </c>
      <c r="K556" t="s">
        <v>24</v>
      </c>
      <c r="L556" t="s">
        <v>35</v>
      </c>
      <c r="M556" t="s">
        <v>49</v>
      </c>
      <c r="N556" t="s">
        <v>17</v>
      </c>
    </row>
    <row r="557" spans="1:14">
      <c r="A557">
        <v>17025</v>
      </c>
      <c r="B557" t="s">
        <v>42</v>
      </c>
      <c r="C557" t="s">
        <v>44</v>
      </c>
      <c r="D557" s="3">
        <v>50000</v>
      </c>
      <c r="E557" s="3" t="s">
        <v>45</v>
      </c>
      <c r="F557">
        <v>0</v>
      </c>
      <c r="G557" t="s">
        <v>21</v>
      </c>
      <c r="H557" t="s">
        <v>16</v>
      </c>
      <c r="I557" t="s">
        <v>48</v>
      </c>
      <c r="J557">
        <v>1</v>
      </c>
      <c r="K557" t="s">
        <v>24</v>
      </c>
      <c r="L557" t="s">
        <v>35</v>
      </c>
      <c r="M557" t="s">
        <v>49</v>
      </c>
      <c r="N557" t="s">
        <v>17</v>
      </c>
    </row>
    <row r="558" spans="1:14">
      <c r="A558">
        <v>25293</v>
      </c>
      <c r="B558" t="s">
        <v>41</v>
      </c>
      <c r="C558" t="s">
        <v>44</v>
      </c>
      <c r="D558" s="3">
        <v>80000</v>
      </c>
      <c r="E558" s="3" t="s">
        <v>46</v>
      </c>
      <c r="F558">
        <v>4</v>
      </c>
      <c r="G558" t="s">
        <v>15</v>
      </c>
      <c r="H558" t="s">
        <v>31</v>
      </c>
      <c r="I558" t="s">
        <v>7</v>
      </c>
      <c r="J558">
        <v>0</v>
      </c>
      <c r="K558" t="s">
        <v>29</v>
      </c>
      <c r="L558" t="s">
        <v>35</v>
      </c>
      <c r="M558" t="s">
        <v>49</v>
      </c>
      <c r="N558" t="s">
        <v>20</v>
      </c>
    </row>
    <row r="559" spans="1:14">
      <c r="A559">
        <v>24725</v>
      </c>
      <c r="B559" t="s">
        <v>41</v>
      </c>
      <c r="C559" t="s">
        <v>43</v>
      </c>
      <c r="D559" s="3">
        <v>40000</v>
      </c>
      <c r="E559" s="3" t="s">
        <v>45</v>
      </c>
      <c r="F559">
        <v>3</v>
      </c>
      <c r="G559" t="s">
        <v>21</v>
      </c>
      <c r="H559" t="s">
        <v>22</v>
      </c>
      <c r="I559" t="s">
        <v>7</v>
      </c>
      <c r="J559">
        <v>0</v>
      </c>
      <c r="K559" t="s">
        <v>29</v>
      </c>
      <c r="L559" t="s">
        <v>35</v>
      </c>
      <c r="M559" t="s">
        <v>52</v>
      </c>
      <c r="N559" t="s">
        <v>20</v>
      </c>
    </row>
    <row r="560" spans="1:14">
      <c r="A560">
        <v>23200</v>
      </c>
      <c r="B560" t="s">
        <v>41</v>
      </c>
      <c r="C560" t="s">
        <v>43</v>
      </c>
      <c r="D560" s="3">
        <v>50000</v>
      </c>
      <c r="E560" s="3" t="s">
        <v>45</v>
      </c>
      <c r="F560">
        <v>3</v>
      </c>
      <c r="G560" t="s">
        <v>15</v>
      </c>
      <c r="H560" t="s">
        <v>16</v>
      </c>
      <c r="I560" t="s">
        <v>7</v>
      </c>
      <c r="J560">
        <v>2</v>
      </c>
      <c r="K560" t="s">
        <v>18</v>
      </c>
      <c r="L560" t="s">
        <v>35</v>
      </c>
      <c r="M560" t="s">
        <v>49</v>
      </c>
      <c r="N560" t="s">
        <v>20</v>
      </c>
    </row>
    <row r="561" spans="1:14">
      <c r="A561">
        <v>15895</v>
      </c>
      <c r="B561" t="s">
        <v>42</v>
      </c>
      <c r="C561" t="s">
        <v>43</v>
      </c>
      <c r="D561" s="3">
        <v>60000</v>
      </c>
      <c r="E561" s="3" t="s">
        <v>46</v>
      </c>
      <c r="F561">
        <v>2</v>
      </c>
      <c r="G561" t="s">
        <v>15</v>
      </c>
      <c r="H561" t="s">
        <v>31</v>
      </c>
      <c r="I561" t="s">
        <v>7</v>
      </c>
      <c r="J561">
        <v>0</v>
      </c>
      <c r="K561" t="s">
        <v>33</v>
      </c>
      <c r="L561" t="s">
        <v>35</v>
      </c>
      <c r="M561" t="s">
        <v>50</v>
      </c>
      <c r="N561" t="s">
        <v>20</v>
      </c>
    </row>
    <row r="562" spans="1:14">
      <c r="A562">
        <v>18577</v>
      </c>
      <c r="B562" t="s">
        <v>41</v>
      </c>
      <c r="C562" t="s">
        <v>43</v>
      </c>
      <c r="D562" s="3">
        <v>60000</v>
      </c>
      <c r="E562" s="3" t="s">
        <v>46</v>
      </c>
      <c r="F562">
        <v>0</v>
      </c>
      <c r="G562" t="s">
        <v>34</v>
      </c>
      <c r="H562" t="s">
        <v>23</v>
      </c>
      <c r="I562" t="s">
        <v>7</v>
      </c>
      <c r="J562">
        <v>0</v>
      </c>
      <c r="K562" t="s">
        <v>18</v>
      </c>
      <c r="L562" t="s">
        <v>35</v>
      </c>
      <c r="M562" t="s">
        <v>49</v>
      </c>
      <c r="N562" t="s">
        <v>20</v>
      </c>
    </row>
    <row r="563" spans="1:14">
      <c r="A563">
        <v>27218</v>
      </c>
      <c r="B563" t="s">
        <v>41</v>
      </c>
      <c r="C563" t="s">
        <v>43</v>
      </c>
      <c r="D563" s="3">
        <v>20000</v>
      </c>
      <c r="E563" s="3" t="s">
        <v>45</v>
      </c>
      <c r="F563">
        <v>2</v>
      </c>
      <c r="G563" t="s">
        <v>32</v>
      </c>
      <c r="H563" t="s">
        <v>22</v>
      </c>
      <c r="I563" t="s">
        <v>48</v>
      </c>
      <c r="J563">
        <v>0</v>
      </c>
      <c r="K563" t="s">
        <v>18</v>
      </c>
      <c r="L563" t="s">
        <v>35</v>
      </c>
      <c r="M563" t="s">
        <v>51</v>
      </c>
      <c r="N563" t="s">
        <v>20</v>
      </c>
    </row>
    <row r="564" spans="1:14">
      <c r="A564">
        <v>18560</v>
      </c>
      <c r="B564" t="s">
        <v>41</v>
      </c>
      <c r="C564" t="s">
        <v>43</v>
      </c>
      <c r="D564" s="3">
        <v>70000</v>
      </c>
      <c r="E564" s="3" t="s">
        <v>46</v>
      </c>
      <c r="F564">
        <v>2</v>
      </c>
      <c r="G564" t="s">
        <v>34</v>
      </c>
      <c r="H564" t="s">
        <v>23</v>
      </c>
      <c r="I564" t="s">
        <v>7</v>
      </c>
      <c r="J564">
        <v>0</v>
      </c>
      <c r="K564" t="s">
        <v>24</v>
      </c>
      <c r="L564" t="s">
        <v>35</v>
      </c>
      <c r="M564" t="s">
        <v>52</v>
      </c>
      <c r="N564" t="s">
        <v>17</v>
      </c>
    </row>
    <row r="565" spans="1:14">
      <c r="A565">
        <v>25006</v>
      </c>
      <c r="B565" t="s">
        <v>42</v>
      </c>
      <c r="C565" t="s">
        <v>43</v>
      </c>
      <c r="D565" s="3">
        <v>30000</v>
      </c>
      <c r="E565" s="3" t="s">
        <v>45</v>
      </c>
      <c r="F565">
        <v>0</v>
      </c>
      <c r="G565" t="s">
        <v>21</v>
      </c>
      <c r="H565" t="s">
        <v>16</v>
      </c>
      <c r="I565" t="s">
        <v>7</v>
      </c>
      <c r="J565">
        <v>1</v>
      </c>
      <c r="K565" t="s">
        <v>26</v>
      </c>
      <c r="L565" t="s">
        <v>35</v>
      </c>
      <c r="M565" t="s">
        <v>52</v>
      </c>
      <c r="N565" t="s">
        <v>20</v>
      </c>
    </row>
    <row r="566" spans="1:14">
      <c r="A566">
        <v>17369</v>
      </c>
      <c r="B566" t="s">
        <v>42</v>
      </c>
      <c r="C566" t="s">
        <v>44</v>
      </c>
      <c r="D566" s="3">
        <v>30000</v>
      </c>
      <c r="E566" s="3" t="s">
        <v>45</v>
      </c>
      <c r="F566">
        <v>0</v>
      </c>
      <c r="G566" t="s">
        <v>21</v>
      </c>
      <c r="H566" t="s">
        <v>16</v>
      </c>
      <c r="I566" t="s">
        <v>7</v>
      </c>
      <c r="J566">
        <v>1</v>
      </c>
      <c r="K566" t="s">
        <v>26</v>
      </c>
      <c r="L566" t="s">
        <v>35</v>
      </c>
      <c r="M566" t="s">
        <v>52</v>
      </c>
      <c r="N566" t="s">
        <v>20</v>
      </c>
    </row>
    <row r="567" spans="1:14">
      <c r="A567">
        <v>14495</v>
      </c>
      <c r="B567" t="s">
        <v>41</v>
      </c>
      <c r="C567" t="s">
        <v>44</v>
      </c>
      <c r="D567" s="3">
        <v>40000</v>
      </c>
      <c r="E567" s="3" t="s">
        <v>45</v>
      </c>
      <c r="F567">
        <v>3</v>
      </c>
      <c r="G567" t="s">
        <v>21</v>
      </c>
      <c r="H567" t="s">
        <v>23</v>
      </c>
      <c r="I567" t="s">
        <v>48</v>
      </c>
      <c r="J567">
        <v>2</v>
      </c>
      <c r="K567" t="s">
        <v>26</v>
      </c>
      <c r="L567" t="s">
        <v>35</v>
      </c>
      <c r="M567" t="s">
        <v>51</v>
      </c>
      <c r="N567" t="s">
        <v>17</v>
      </c>
    </row>
    <row r="568" spans="1:14">
      <c r="A568">
        <v>18847</v>
      </c>
      <c r="B568" t="s">
        <v>41</v>
      </c>
      <c r="C568" t="s">
        <v>43</v>
      </c>
      <c r="D568" s="3">
        <v>60000</v>
      </c>
      <c r="E568" s="3" t="s">
        <v>46</v>
      </c>
      <c r="F568">
        <v>2</v>
      </c>
      <c r="G568" t="s">
        <v>34</v>
      </c>
      <c r="H568" t="s">
        <v>31</v>
      </c>
      <c r="I568" t="s">
        <v>7</v>
      </c>
      <c r="J568">
        <v>2</v>
      </c>
      <c r="K568" t="s">
        <v>26</v>
      </c>
      <c r="L568" t="s">
        <v>35</v>
      </c>
      <c r="M568" t="s">
        <v>53</v>
      </c>
      <c r="N568" t="s">
        <v>20</v>
      </c>
    </row>
    <row r="569" spans="1:14">
      <c r="A569">
        <v>14754</v>
      </c>
      <c r="B569" t="s">
        <v>41</v>
      </c>
      <c r="C569" t="s">
        <v>44</v>
      </c>
      <c r="D569" s="3">
        <v>40000</v>
      </c>
      <c r="E569" s="3" t="s">
        <v>45</v>
      </c>
      <c r="F569">
        <v>1</v>
      </c>
      <c r="G569" t="s">
        <v>21</v>
      </c>
      <c r="H569" t="s">
        <v>22</v>
      </c>
      <c r="I569" t="s">
        <v>7</v>
      </c>
      <c r="J569">
        <v>1</v>
      </c>
      <c r="K569" t="s">
        <v>29</v>
      </c>
      <c r="L569" t="s">
        <v>35</v>
      </c>
      <c r="M569" t="s">
        <v>51</v>
      </c>
      <c r="N569" t="s">
        <v>17</v>
      </c>
    </row>
    <row r="570" spans="1:14">
      <c r="A570">
        <v>23378</v>
      </c>
      <c r="B570" t="s">
        <v>41</v>
      </c>
      <c r="C570" t="s">
        <v>44</v>
      </c>
      <c r="D570" s="3">
        <v>70000</v>
      </c>
      <c r="E570" s="3" t="s">
        <v>46</v>
      </c>
      <c r="F570">
        <v>1</v>
      </c>
      <c r="G570" t="s">
        <v>21</v>
      </c>
      <c r="H570" t="s">
        <v>16</v>
      </c>
      <c r="I570" t="s">
        <v>7</v>
      </c>
      <c r="J570">
        <v>1</v>
      </c>
      <c r="K570" t="s">
        <v>24</v>
      </c>
      <c r="L570" t="s">
        <v>35</v>
      </c>
      <c r="M570" t="s">
        <v>49</v>
      </c>
      <c r="N570" t="s">
        <v>17</v>
      </c>
    </row>
    <row r="571" spans="1:14">
      <c r="A571">
        <v>26452</v>
      </c>
      <c r="B571" t="s">
        <v>42</v>
      </c>
      <c r="C571" t="s">
        <v>44</v>
      </c>
      <c r="D571" s="3">
        <v>50000</v>
      </c>
      <c r="E571" s="3" t="s">
        <v>45</v>
      </c>
      <c r="F571">
        <v>3</v>
      </c>
      <c r="G571" t="s">
        <v>34</v>
      </c>
      <c r="H571" t="s">
        <v>31</v>
      </c>
      <c r="I571" t="s">
        <v>7</v>
      </c>
      <c r="J571">
        <v>2</v>
      </c>
      <c r="K571" t="s">
        <v>33</v>
      </c>
      <c r="L571" t="s">
        <v>35</v>
      </c>
      <c r="M571" t="s">
        <v>53</v>
      </c>
      <c r="N571" t="s">
        <v>20</v>
      </c>
    </row>
    <row r="572" spans="1:14">
      <c r="A572">
        <v>20370</v>
      </c>
      <c r="B572" t="s">
        <v>41</v>
      </c>
      <c r="C572" t="s">
        <v>44</v>
      </c>
      <c r="D572" s="3">
        <v>70000</v>
      </c>
      <c r="E572" s="3" t="s">
        <v>46</v>
      </c>
      <c r="F572">
        <v>3</v>
      </c>
      <c r="G572" t="s">
        <v>32</v>
      </c>
      <c r="H572" t="s">
        <v>16</v>
      </c>
      <c r="I572" t="s">
        <v>7</v>
      </c>
      <c r="J572">
        <v>2</v>
      </c>
      <c r="K572" t="s">
        <v>26</v>
      </c>
      <c r="L572" t="s">
        <v>35</v>
      </c>
      <c r="M572" t="s">
        <v>51</v>
      </c>
      <c r="N572" t="s">
        <v>20</v>
      </c>
    </row>
    <row r="573" spans="1:14">
      <c r="A573">
        <v>20528</v>
      </c>
      <c r="B573" t="s">
        <v>41</v>
      </c>
      <c r="C573" t="s">
        <v>44</v>
      </c>
      <c r="D573" s="3">
        <v>40000</v>
      </c>
      <c r="E573" s="3" t="s">
        <v>45</v>
      </c>
      <c r="F573">
        <v>2</v>
      </c>
      <c r="G573" t="s">
        <v>32</v>
      </c>
      <c r="H573" t="s">
        <v>16</v>
      </c>
      <c r="I573" t="s">
        <v>7</v>
      </c>
      <c r="J573">
        <v>2</v>
      </c>
      <c r="K573" t="s">
        <v>24</v>
      </c>
      <c r="L573" t="s">
        <v>35</v>
      </c>
      <c r="M573" t="s">
        <v>50</v>
      </c>
      <c r="N573" t="s">
        <v>20</v>
      </c>
    </row>
    <row r="574" spans="1:14">
      <c r="A574">
        <v>23549</v>
      </c>
      <c r="B574" t="s">
        <v>42</v>
      </c>
      <c r="C574" t="s">
        <v>44</v>
      </c>
      <c r="D574" s="3">
        <v>30000</v>
      </c>
      <c r="E574" s="3" t="s">
        <v>45</v>
      </c>
      <c r="F574">
        <v>0</v>
      </c>
      <c r="G574" t="s">
        <v>30</v>
      </c>
      <c r="H574" t="s">
        <v>16</v>
      </c>
      <c r="I574" t="s">
        <v>7</v>
      </c>
      <c r="J574">
        <v>2</v>
      </c>
      <c r="K574" t="s">
        <v>26</v>
      </c>
      <c r="L574" t="s">
        <v>35</v>
      </c>
      <c r="M574" t="s">
        <v>52</v>
      </c>
      <c r="N574" t="s">
        <v>20</v>
      </c>
    </row>
    <row r="575" spans="1:14">
      <c r="A575">
        <v>21751</v>
      </c>
      <c r="B575" t="s">
        <v>41</v>
      </c>
      <c r="C575" t="s">
        <v>44</v>
      </c>
      <c r="D575" s="3">
        <v>60000</v>
      </c>
      <c r="E575" s="3" t="s">
        <v>46</v>
      </c>
      <c r="F575">
        <v>3</v>
      </c>
      <c r="G575" t="s">
        <v>34</v>
      </c>
      <c r="H575" t="s">
        <v>31</v>
      </c>
      <c r="I575" t="s">
        <v>7</v>
      </c>
      <c r="J575">
        <v>2</v>
      </c>
      <c r="K575" t="s">
        <v>29</v>
      </c>
      <c r="L575" t="s">
        <v>35</v>
      </c>
      <c r="M575" t="s">
        <v>50</v>
      </c>
      <c r="N575" t="s">
        <v>20</v>
      </c>
    </row>
    <row r="576" spans="1:14">
      <c r="A576">
        <v>21266</v>
      </c>
      <c r="B576" t="s">
        <v>42</v>
      </c>
      <c r="C576" t="s">
        <v>43</v>
      </c>
      <c r="D576" s="3">
        <v>80000</v>
      </c>
      <c r="E576" s="3" t="s">
        <v>46</v>
      </c>
      <c r="F576">
        <v>0</v>
      </c>
      <c r="G576" t="s">
        <v>15</v>
      </c>
      <c r="H576" t="s">
        <v>31</v>
      </c>
      <c r="I576" t="s">
        <v>7</v>
      </c>
      <c r="J576">
        <v>1</v>
      </c>
      <c r="K576" t="s">
        <v>29</v>
      </c>
      <c r="L576" t="s">
        <v>35</v>
      </c>
      <c r="M576" t="s">
        <v>52</v>
      </c>
      <c r="N576" t="s">
        <v>17</v>
      </c>
    </row>
    <row r="577" spans="1:14">
      <c r="A577">
        <v>13388</v>
      </c>
      <c r="B577" t="s">
        <v>42</v>
      </c>
      <c r="C577" t="s">
        <v>44</v>
      </c>
      <c r="D577" s="3">
        <v>60000</v>
      </c>
      <c r="E577" s="3" t="s">
        <v>46</v>
      </c>
      <c r="F577">
        <v>2</v>
      </c>
      <c r="G577" t="s">
        <v>21</v>
      </c>
      <c r="H577" t="s">
        <v>23</v>
      </c>
      <c r="I577" t="s">
        <v>7</v>
      </c>
      <c r="J577">
        <v>1</v>
      </c>
      <c r="K577" t="s">
        <v>33</v>
      </c>
      <c r="L577" t="s">
        <v>35</v>
      </c>
      <c r="M577" t="s">
        <v>50</v>
      </c>
      <c r="N577" t="s">
        <v>20</v>
      </c>
    </row>
    <row r="578" spans="1:14">
      <c r="A578">
        <v>18752</v>
      </c>
      <c r="B578" t="s">
        <v>42</v>
      </c>
      <c r="C578" t="s">
        <v>43</v>
      </c>
      <c r="D578" s="3">
        <v>40000</v>
      </c>
      <c r="E578" s="3" t="s">
        <v>45</v>
      </c>
      <c r="F578">
        <v>0</v>
      </c>
      <c r="G578" t="s">
        <v>30</v>
      </c>
      <c r="H578" t="s">
        <v>16</v>
      </c>
      <c r="I578" t="s">
        <v>7</v>
      </c>
      <c r="J578">
        <v>1</v>
      </c>
      <c r="K578" t="s">
        <v>26</v>
      </c>
      <c r="L578" t="s">
        <v>35</v>
      </c>
      <c r="M578" t="s">
        <v>52</v>
      </c>
      <c r="N578" t="s">
        <v>20</v>
      </c>
    </row>
    <row r="579" spans="1:14">
      <c r="A579">
        <v>16917</v>
      </c>
      <c r="B579" t="s">
        <v>41</v>
      </c>
      <c r="C579" t="s">
        <v>44</v>
      </c>
      <c r="D579" s="3">
        <v>120000</v>
      </c>
      <c r="E579" s="3" t="s">
        <v>47</v>
      </c>
      <c r="F579">
        <v>1</v>
      </c>
      <c r="G579" t="s">
        <v>15</v>
      </c>
      <c r="H579" t="s">
        <v>31</v>
      </c>
      <c r="I579" t="s">
        <v>7</v>
      </c>
      <c r="J579">
        <v>4</v>
      </c>
      <c r="K579" t="s">
        <v>18</v>
      </c>
      <c r="L579" t="s">
        <v>35</v>
      </c>
      <c r="M579" t="s">
        <v>49</v>
      </c>
      <c r="N579" t="s">
        <v>20</v>
      </c>
    </row>
    <row r="580" spans="1:14">
      <c r="A580">
        <v>15313</v>
      </c>
      <c r="B580" t="s">
        <v>41</v>
      </c>
      <c r="C580" t="s">
        <v>44</v>
      </c>
      <c r="D580" s="3">
        <v>60000</v>
      </c>
      <c r="E580" s="3" t="s">
        <v>46</v>
      </c>
      <c r="F580">
        <v>4</v>
      </c>
      <c r="G580" t="s">
        <v>15</v>
      </c>
      <c r="H580" t="s">
        <v>31</v>
      </c>
      <c r="I580" t="s">
        <v>7</v>
      </c>
      <c r="J580">
        <v>2</v>
      </c>
      <c r="K580" t="s">
        <v>24</v>
      </c>
      <c r="L580" t="s">
        <v>35</v>
      </c>
      <c r="M580" t="s">
        <v>50</v>
      </c>
      <c r="N580" t="s">
        <v>20</v>
      </c>
    </row>
    <row r="581" spans="1:14">
      <c r="A581">
        <v>25329</v>
      </c>
      <c r="B581" t="s">
        <v>42</v>
      </c>
      <c r="C581" t="s">
        <v>43</v>
      </c>
      <c r="D581" s="3">
        <v>40000</v>
      </c>
      <c r="E581" s="3" t="s">
        <v>45</v>
      </c>
      <c r="F581">
        <v>3</v>
      </c>
      <c r="G581" t="s">
        <v>21</v>
      </c>
      <c r="H581" t="s">
        <v>22</v>
      </c>
      <c r="I581" t="s">
        <v>48</v>
      </c>
      <c r="J581">
        <v>2</v>
      </c>
      <c r="K581" t="s">
        <v>18</v>
      </c>
      <c r="L581" t="s">
        <v>35</v>
      </c>
      <c r="M581" t="s">
        <v>52</v>
      </c>
      <c r="N581" t="s">
        <v>20</v>
      </c>
    </row>
    <row r="582" spans="1:14">
      <c r="A582">
        <v>20380</v>
      </c>
      <c r="B582" t="s">
        <v>41</v>
      </c>
      <c r="C582" t="s">
        <v>43</v>
      </c>
      <c r="D582" s="3">
        <v>60000</v>
      </c>
      <c r="E582" s="3" t="s">
        <v>46</v>
      </c>
      <c r="F582">
        <v>3</v>
      </c>
      <c r="G582" t="s">
        <v>34</v>
      </c>
      <c r="H582" t="s">
        <v>31</v>
      </c>
      <c r="I582" t="s">
        <v>7</v>
      </c>
      <c r="J582">
        <v>2</v>
      </c>
      <c r="K582" t="s">
        <v>33</v>
      </c>
      <c r="L582" t="s">
        <v>35</v>
      </c>
      <c r="M582" t="s">
        <v>53</v>
      </c>
      <c r="N582" t="s">
        <v>20</v>
      </c>
    </row>
    <row r="583" spans="1:14">
      <c r="A583">
        <v>23089</v>
      </c>
      <c r="B583" t="s">
        <v>41</v>
      </c>
      <c r="C583" t="s">
        <v>44</v>
      </c>
      <c r="D583" s="3">
        <v>40000</v>
      </c>
      <c r="E583" s="3" t="s">
        <v>45</v>
      </c>
      <c r="F583">
        <v>0</v>
      </c>
      <c r="G583" t="s">
        <v>21</v>
      </c>
      <c r="H583" t="s">
        <v>16</v>
      </c>
      <c r="I583" t="s">
        <v>7</v>
      </c>
      <c r="J583">
        <v>1</v>
      </c>
      <c r="K583" t="s">
        <v>26</v>
      </c>
      <c r="L583" t="s">
        <v>35</v>
      </c>
      <c r="M583" t="s">
        <v>52</v>
      </c>
      <c r="N583" t="s">
        <v>20</v>
      </c>
    </row>
    <row r="584" spans="1:14">
      <c r="A584">
        <v>13749</v>
      </c>
      <c r="B584" t="s">
        <v>41</v>
      </c>
      <c r="C584" t="s">
        <v>44</v>
      </c>
      <c r="D584" s="3">
        <v>80000</v>
      </c>
      <c r="E584" s="3" t="s">
        <v>46</v>
      </c>
      <c r="F584">
        <v>4</v>
      </c>
      <c r="G584" t="s">
        <v>34</v>
      </c>
      <c r="H584" t="s">
        <v>16</v>
      </c>
      <c r="I584" t="s">
        <v>7</v>
      </c>
      <c r="J584">
        <v>0</v>
      </c>
      <c r="K584" t="s">
        <v>29</v>
      </c>
      <c r="L584" t="s">
        <v>35</v>
      </c>
      <c r="M584" t="s">
        <v>51</v>
      </c>
      <c r="N584" t="s">
        <v>20</v>
      </c>
    </row>
    <row r="585" spans="1:14">
      <c r="A585">
        <v>24943</v>
      </c>
      <c r="B585" t="s">
        <v>41</v>
      </c>
      <c r="C585" t="s">
        <v>44</v>
      </c>
      <c r="D585" s="3">
        <v>60000</v>
      </c>
      <c r="E585" s="3" t="s">
        <v>46</v>
      </c>
      <c r="F585">
        <v>3</v>
      </c>
      <c r="G585" t="s">
        <v>15</v>
      </c>
      <c r="H585" t="s">
        <v>31</v>
      </c>
      <c r="I585" t="s">
        <v>7</v>
      </c>
      <c r="J585">
        <v>2</v>
      </c>
      <c r="K585" t="s">
        <v>33</v>
      </c>
      <c r="L585" t="s">
        <v>35</v>
      </c>
      <c r="M585" t="s">
        <v>53</v>
      </c>
      <c r="N585" t="s">
        <v>20</v>
      </c>
    </row>
    <row r="586" spans="1:14">
      <c r="A586">
        <v>28667</v>
      </c>
      <c r="B586" t="s">
        <v>42</v>
      </c>
      <c r="C586" t="s">
        <v>44</v>
      </c>
      <c r="D586" s="3">
        <v>70000</v>
      </c>
      <c r="E586" s="3" t="s">
        <v>46</v>
      </c>
      <c r="F586">
        <v>2</v>
      </c>
      <c r="G586" t="s">
        <v>15</v>
      </c>
      <c r="H586" t="s">
        <v>16</v>
      </c>
      <c r="I586" t="s">
        <v>48</v>
      </c>
      <c r="J586">
        <v>1</v>
      </c>
      <c r="K586" t="s">
        <v>18</v>
      </c>
      <c r="L586" t="s">
        <v>35</v>
      </c>
      <c r="M586" t="s">
        <v>49</v>
      </c>
      <c r="N586" t="s">
        <v>17</v>
      </c>
    </row>
    <row r="587" spans="1:14">
      <c r="A587">
        <v>15194</v>
      </c>
      <c r="B587" t="s">
        <v>42</v>
      </c>
      <c r="C587" t="s">
        <v>44</v>
      </c>
      <c r="D587" s="3">
        <v>120000</v>
      </c>
      <c r="E587" s="3" t="s">
        <v>47</v>
      </c>
      <c r="F587">
        <v>2</v>
      </c>
      <c r="G587" t="s">
        <v>15</v>
      </c>
      <c r="H587" t="s">
        <v>31</v>
      </c>
      <c r="I587" t="s">
        <v>48</v>
      </c>
      <c r="J587">
        <v>3</v>
      </c>
      <c r="K587" t="s">
        <v>18</v>
      </c>
      <c r="L587" t="s">
        <v>35</v>
      </c>
      <c r="M587" t="s">
        <v>49</v>
      </c>
      <c r="N587" t="s">
        <v>17</v>
      </c>
    </row>
    <row r="588" spans="1:14">
      <c r="A588">
        <v>17436</v>
      </c>
      <c r="B588" t="s">
        <v>41</v>
      </c>
      <c r="C588" t="s">
        <v>44</v>
      </c>
      <c r="D588" s="3">
        <v>60000</v>
      </c>
      <c r="E588" s="3" t="s">
        <v>46</v>
      </c>
      <c r="F588">
        <v>2</v>
      </c>
      <c r="G588" t="s">
        <v>30</v>
      </c>
      <c r="H588" t="s">
        <v>23</v>
      </c>
      <c r="I588" t="s">
        <v>48</v>
      </c>
      <c r="J588">
        <v>2</v>
      </c>
      <c r="K588" t="s">
        <v>29</v>
      </c>
      <c r="L588" t="s">
        <v>35</v>
      </c>
      <c r="M588" t="s">
        <v>51</v>
      </c>
      <c r="N588" t="s">
        <v>20</v>
      </c>
    </row>
    <row r="589" spans="1:14">
      <c r="A589">
        <v>18935</v>
      </c>
      <c r="B589" t="s">
        <v>41</v>
      </c>
      <c r="C589" t="s">
        <v>43</v>
      </c>
      <c r="D589" s="3">
        <v>130000</v>
      </c>
      <c r="E589" s="3" t="s">
        <v>47</v>
      </c>
      <c r="F589">
        <v>0</v>
      </c>
      <c r="G589" t="s">
        <v>34</v>
      </c>
      <c r="H589" t="s">
        <v>31</v>
      </c>
      <c r="I589" t="s">
        <v>7</v>
      </c>
      <c r="J589">
        <v>3</v>
      </c>
      <c r="K589" t="s">
        <v>29</v>
      </c>
      <c r="L589" t="s">
        <v>35</v>
      </c>
      <c r="M589" t="s">
        <v>49</v>
      </c>
      <c r="N589" t="s">
        <v>20</v>
      </c>
    </row>
    <row r="590" spans="1:14">
      <c r="A590">
        <v>16871</v>
      </c>
      <c r="B590" t="s">
        <v>41</v>
      </c>
      <c r="C590" t="s">
        <v>43</v>
      </c>
      <c r="D590" s="3">
        <v>90000</v>
      </c>
      <c r="E590" s="3" t="s">
        <v>46</v>
      </c>
      <c r="F590">
        <v>2</v>
      </c>
      <c r="G590" t="s">
        <v>30</v>
      </c>
      <c r="H590" t="s">
        <v>23</v>
      </c>
      <c r="I590" t="s">
        <v>7</v>
      </c>
      <c r="J590">
        <v>1</v>
      </c>
      <c r="K590" t="s">
        <v>33</v>
      </c>
      <c r="L590" t="s">
        <v>35</v>
      </c>
      <c r="M590" t="s">
        <v>51</v>
      </c>
      <c r="N590" t="s">
        <v>17</v>
      </c>
    </row>
    <row r="591" spans="1:14">
      <c r="A591">
        <v>12100</v>
      </c>
      <c r="B591" t="s">
        <v>42</v>
      </c>
      <c r="C591" t="s">
        <v>44</v>
      </c>
      <c r="D591" s="3">
        <v>60000</v>
      </c>
      <c r="E591" s="3" t="s">
        <v>46</v>
      </c>
      <c r="F591">
        <v>2</v>
      </c>
      <c r="G591" t="s">
        <v>15</v>
      </c>
      <c r="H591" t="s">
        <v>31</v>
      </c>
      <c r="I591" t="s">
        <v>7</v>
      </c>
      <c r="J591">
        <v>0</v>
      </c>
      <c r="K591" t="s">
        <v>33</v>
      </c>
      <c r="L591" t="s">
        <v>35</v>
      </c>
      <c r="M591" t="s">
        <v>50</v>
      </c>
      <c r="N591" t="s">
        <v>20</v>
      </c>
    </row>
    <row r="592" spans="1:14">
      <c r="A592">
        <v>23158</v>
      </c>
      <c r="B592" t="s">
        <v>41</v>
      </c>
      <c r="C592" t="s">
        <v>43</v>
      </c>
      <c r="D592" s="3">
        <v>60000</v>
      </c>
      <c r="E592" s="3" t="s">
        <v>46</v>
      </c>
      <c r="F592">
        <v>1</v>
      </c>
      <c r="G592" t="s">
        <v>34</v>
      </c>
      <c r="H592" t="s">
        <v>23</v>
      </c>
      <c r="I592" t="s">
        <v>48</v>
      </c>
      <c r="J592">
        <v>0</v>
      </c>
      <c r="K592" t="s">
        <v>18</v>
      </c>
      <c r="L592" t="s">
        <v>35</v>
      </c>
      <c r="M592" t="s">
        <v>49</v>
      </c>
      <c r="N592" t="s">
        <v>17</v>
      </c>
    </row>
    <row r="593" spans="1:14">
      <c r="A593">
        <v>18545</v>
      </c>
      <c r="B593" t="s">
        <v>41</v>
      </c>
      <c r="C593" t="s">
        <v>44</v>
      </c>
      <c r="D593" s="3">
        <v>40000</v>
      </c>
      <c r="E593" s="3" t="s">
        <v>45</v>
      </c>
      <c r="F593">
        <v>4</v>
      </c>
      <c r="G593" t="s">
        <v>30</v>
      </c>
      <c r="H593" t="s">
        <v>23</v>
      </c>
      <c r="I593" t="s">
        <v>48</v>
      </c>
      <c r="J593">
        <v>2</v>
      </c>
      <c r="K593" t="s">
        <v>33</v>
      </c>
      <c r="L593" t="s">
        <v>35</v>
      </c>
      <c r="M593" t="s">
        <v>50</v>
      </c>
      <c r="N593" t="s">
        <v>17</v>
      </c>
    </row>
    <row r="594" spans="1:14">
      <c r="A594">
        <v>18391</v>
      </c>
      <c r="B594" t="s">
        <v>42</v>
      </c>
      <c r="C594" t="s">
        <v>43</v>
      </c>
      <c r="D594" s="3">
        <v>80000</v>
      </c>
      <c r="E594" s="3" t="s">
        <v>46</v>
      </c>
      <c r="F594">
        <v>5</v>
      </c>
      <c r="G594" t="s">
        <v>21</v>
      </c>
      <c r="H594" t="s">
        <v>23</v>
      </c>
      <c r="I594" t="s">
        <v>7</v>
      </c>
      <c r="J594">
        <v>2</v>
      </c>
      <c r="K594" t="s">
        <v>26</v>
      </c>
      <c r="L594" t="s">
        <v>35</v>
      </c>
      <c r="M594" t="s">
        <v>49</v>
      </c>
      <c r="N594" t="s">
        <v>20</v>
      </c>
    </row>
    <row r="595" spans="1:14">
      <c r="A595">
        <v>19812</v>
      </c>
      <c r="B595" t="s">
        <v>42</v>
      </c>
      <c r="C595" t="s">
        <v>43</v>
      </c>
      <c r="D595" s="3">
        <v>70000</v>
      </c>
      <c r="E595" s="3" t="s">
        <v>46</v>
      </c>
      <c r="F595">
        <v>2</v>
      </c>
      <c r="G595" t="s">
        <v>21</v>
      </c>
      <c r="H595" t="s">
        <v>23</v>
      </c>
      <c r="I595" t="s">
        <v>7</v>
      </c>
      <c r="J595">
        <v>0</v>
      </c>
      <c r="K595" t="s">
        <v>26</v>
      </c>
      <c r="L595" t="s">
        <v>35</v>
      </c>
      <c r="M595" t="s">
        <v>51</v>
      </c>
      <c r="N595" t="s">
        <v>17</v>
      </c>
    </row>
    <row r="596" spans="1:14">
      <c r="A596">
        <v>27660</v>
      </c>
      <c r="B596" t="s">
        <v>41</v>
      </c>
      <c r="C596" t="s">
        <v>44</v>
      </c>
      <c r="D596" s="3">
        <v>80000</v>
      </c>
      <c r="E596" s="3" t="s">
        <v>46</v>
      </c>
      <c r="F596">
        <v>4</v>
      </c>
      <c r="G596" t="s">
        <v>34</v>
      </c>
      <c r="H596" t="s">
        <v>31</v>
      </c>
      <c r="I596" t="s">
        <v>7</v>
      </c>
      <c r="J596">
        <v>2</v>
      </c>
      <c r="K596" t="s">
        <v>26</v>
      </c>
      <c r="L596" t="s">
        <v>35</v>
      </c>
      <c r="M596" t="s">
        <v>53</v>
      </c>
      <c r="N596" t="s">
        <v>20</v>
      </c>
    </row>
    <row r="597" spans="1:14">
      <c r="A597">
        <v>18058</v>
      </c>
      <c r="B597" t="s">
        <v>42</v>
      </c>
      <c r="C597" t="s">
        <v>43</v>
      </c>
      <c r="D597" s="3">
        <v>20000</v>
      </c>
      <c r="E597" s="3" t="s">
        <v>45</v>
      </c>
      <c r="F597">
        <v>3</v>
      </c>
      <c r="G597" t="s">
        <v>30</v>
      </c>
      <c r="H597" t="s">
        <v>16</v>
      </c>
      <c r="I597" t="s">
        <v>7</v>
      </c>
      <c r="J597">
        <v>2</v>
      </c>
      <c r="K597" t="s">
        <v>24</v>
      </c>
      <c r="L597" t="s">
        <v>35</v>
      </c>
      <c r="M597" t="s">
        <v>53</v>
      </c>
      <c r="N597" t="s">
        <v>20</v>
      </c>
    </row>
    <row r="598" spans="1:14">
      <c r="A598">
        <v>20343</v>
      </c>
      <c r="B598" t="s">
        <v>41</v>
      </c>
      <c r="C598" t="s">
        <v>43</v>
      </c>
      <c r="D598" s="3">
        <v>90000</v>
      </c>
      <c r="E598" s="3" t="s">
        <v>46</v>
      </c>
      <c r="F598">
        <v>4</v>
      </c>
      <c r="G598" t="s">
        <v>21</v>
      </c>
      <c r="H598" t="s">
        <v>23</v>
      </c>
      <c r="I598" t="s">
        <v>7</v>
      </c>
      <c r="J598">
        <v>1</v>
      </c>
      <c r="K598" t="s">
        <v>29</v>
      </c>
      <c r="L598" t="s">
        <v>35</v>
      </c>
      <c r="M598" t="s">
        <v>51</v>
      </c>
      <c r="N598" t="s">
        <v>20</v>
      </c>
    </row>
    <row r="599" spans="1:14">
      <c r="A599">
        <v>28997</v>
      </c>
      <c r="B599" t="s">
        <v>42</v>
      </c>
      <c r="C599" t="s">
        <v>44</v>
      </c>
      <c r="D599" s="3">
        <v>40000</v>
      </c>
      <c r="E599" s="3" t="s">
        <v>45</v>
      </c>
      <c r="F599">
        <v>2</v>
      </c>
      <c r="G599" t="s">
        <v>30</v>
      </c>
      <c r="H599" t="s">
        <v>23</v>
      </c>
      <c r="I599" t="s">
        <v>48</v>
      </c>
      <c r="J599">
        <v>1</v>
      </c>
      <c r="K599" t="s">
        <v>24</v>
      </c>
      <c r="L599" t="s">
        <v>35</v>
      </c>
      <c r="M599" t="s">
        <v>50</v>
      </c>
      <c r="N599" t="s">
        <v>17</v>
      </c>
    </row>
    <row r="600" spans="1:14">
      <c r="A600">
        <v>24398</v>
      </c>
      <c r="B600" t="s">
        <v>41</v>
      </c>
      <c r="C600" t="s">
        <v>44</v>
      </c>
      <c r="D600" s="3">
        <v>130000</v>
      </c>
      <c r="E600" s="3" t="s">
        <v>47</v>
      </c>
      <c r="F600">
        <v>1</v>
      </c>
      <c r="G600" t="s">
        <v>34</v>
      </c>
      <c r="H600" t="s">
        <v>31</v>
      </c>
      <c r="I600" t="s">
        <v>7</v>
      </c>
      <c r="J600">
        <v>4</v>
      </c>
      <c r="K600" t="s">
        <v>18</v>
      </c>
      <c r="L600" t="s">
        <v>35</v>
      </c>
      <c r="M600" t="s">
        <v>49</v>
      </c>
      <c r="N600" t="s">
        <v>20</v>
      </c>
    </row>
    <row r="601" spans="1:14">
      <c r="A601">
        <v>19002</v>
      </c>
      <c r="B601" t="s">
        <v>41</v>
      </c>
      <c r="C601" t="s">
        <v>43</v>
      </c>
      <c r="D601" s="3">
        <v>60000</v>
      </c>
      <c r="E601" s="3" t="s">
        <v>46</v>
      </c>
      <c r="F601">
        <v>2</v>
      </c>
      <c r="G601" t="s">
        <v>21</v>
      </c>
      <c r="H601" t="s">
        <v>23</v>
      </c>
      <c r="I601" t="s">
        <v>7</v>
      </c>
      <c r="J601">
        <v>1</v>
      </c>
      <c r="K601" t="s">
        <v>24</v>
      </c>
      <c r="L601" t="s">
        <v>35</v>
      </c>
      <c r="M601" t="s">
        <v>50</v>
      </c>
      <c r="N601" t="s">
        <v>17</v>
      </c>
    </row>
    <row r="602" spans="1:14">
      <c r="A602">
        <v>28609</v>
      </c>
      <c r="B602" t="s">
        <v>41</v>
      </c>
      <c r="C602" t="s">
        <v>44</v>
      </c>
      <c r="D602" s="3">
        <v>30000</v>
      </c>
      <c r="E602" s="3" t="s">
        <v>45</v>
      </c>
      <c r="F602">
        <v>2</v>
      </c>
      <c r="G602" t="s">
        <v>30</v>
      </c>
      <c r="H602" t="s">
        <v>16</v>
      </c>
      <c r="I602" t="s">
        <v>48</v>
      </c>
      <c r="J602">
        <v>2</v>
      </c>
      <c r="K602" t="s">
        <v>18</v>
      </c>
      <c r="L602" t="s">
        <v>35</v>
      </c>
      <c r="M602" t="s">
        <v>51</v>
      </c>
      <c r="N602" t="s">
        <v>20</v>
      </c>
    </row>
    <row r="603" spans="1:14">
      <c r="A603">
        <v>29231</v>
      </c>
      <c r="B603" t="s">
        <v>42</v>
      </c>
      <c r="C603" t="s">
        <v>44</v>
      </c>
      <c r="D603" s="3">
        <v>80000</v>
      </c>
      <c r="E603" s="3" t="s">
        <v>46</v>
      </c>
      <c r="F603">
        <v>4</v>
      </c>
      <c r="G603" t="s">
        <v>21</v>
      </c>
      <c r="H603" t="s">
        <v>23</v>
      </c>
      <c r="I603" t="s">
        <v>48</v>
      </c>
      <c r="J603">
        <v>2</v>
      </c>
      <c r="K603" t="s">
        <v>18</v>
      </c>
      <c r="L603" t="s">
        <v>35</v>
      </c>
      <c r="M603" t="s">
        <v>49</v>
      </c>
      <c r="N603" t="s">
        <v>20</v>
      </c>
    </row>
    <row r="604" spans="1:14">
      <c r="A604">
        <v>18858</v>
      </c>
      <c r="B604" t="s">
        <v>42</v>
      </c>
      <c r="C604" t="s">
        <v>44</v>
      </c>
      <c r="D604" s="3">
        <v>60000</v>
      </c>
      <c r="E604" s="3" t="s">
        <v>46</v>
      </c>
      <c r="F604">
        <v>2</v>
      </c>
      <c r="G604" t="s">
        <v>32</v>
      </c>
      <c r="H604" t="s">
        <v>16</v>
      </c>
      <c r="I604" t="s">
        <v>7</v>
      </c>
      <c r="J604">
        <v>2</v>
      </c>
      <c r="K604" t="s">
        <v>26</v>
      </c>
      <c r="L604" t="s">
        <v>35</v>
      </c>
      <c r="M604" t="s">
        <v>51</v>
      </c>
      <c r="N604" t="s">
        <v>17</v>
      </c>
    </row>
    <row r="605" spans="1:14">
      <c r="A605">
        <v>20000</v>
      </c>
      <c r="B605" t="s">
        <v>41</v>
      </c>
      <c r="C605" t="s">
        <v>44</v>
      </c>
      <c r="D605" s="3">
        <v>60000</v>
      </c>
      <c r="E605" s="3" t="s">
        <v>46</v>
      </c>
      <c r="F605">
        <v>1</v>
      </c>
      <c r="G605" t="s">
        <v>34</v>
      </c>
      <c r="H605" t="s">
        <v>23</v>
      </c>
      <c r="I605" t="s">
        <v>7</v>
      </c>
      <c r="J605">
        <v>0</v>
      </c>
      <c r="K605" t="s">
        <v>18</v>
      </c>
      <c r="L605" t="s">
        <v>35</v>
      </c>
      <c r="M605" t="s">
        <v>49</v>
      </c>
      <c r="N605" t="s">
        <v>17</v>
      </c>
    </row>
    <row r="606" spans="1:14">
      <c r="A606">
        <v>25261</v>
      </c>
      <c r="B606" t="s">
        <v>41</v>
      </c>
      <c r="C606" t="s">
        <v>44</v>
      </c>
      <c r="D606" s="3">
        <v>40000</v>
      </c>
      <c r="E606" s="3" t="s">
        <v>45</v>
      </c>
      <c r="F606">
        <v>0</v>
      </c>
      <c r="G606" t="s">
        <v>30</v>
      </c>
      <c r="H606" t="s">
        <v>16</v>
      </c>
      <c r="I606" t="s">
        <v>7</v>
      </c>
      <c r="J606">
        <v>2</v>
      </c>
      <c r="K606" t="s">
        <v>26</v>
      </c>
      <c r="L606" t="s">
        <v>35</v>
      </c>
      <c r="M606" t="s">
        <v>52</v>
      </c>
      <c r="N606" t="s">
        <v>20</v>
      </c>
    </row>
    <row r="607" spans="1:14">
      <c r="A607">
        <v>17458</v>
      </c>
      <c r="B607" t="s">
        <v>42</v>
      </c>
      <c r="C607" t="s">
        <v>44</v>
      </c>
      <c r="D607" s="3">
        <v>70000</v>
      </c>
      <c r="E607" s="3" t="s">
        <v>46</v>
      </c>
      <c r="F607">
        <v>3</v>
      </c>
      <c r="G607" t="s">
        <v>30</v>
      </c>
      <c r="H607" t="s">
        <v>23</v>
      </c>
      <c r="I607" t="s">
        <v>7</v>
      </c>
      <c r="J607">
        <v>0</v>
      </c>
      <c r="K607" t="s">
        <v>26</v>
      </c>
      <c r="L607" t="s">
        <v>35</v>
      </c>
      <c r="M607" t="s">
        <v>51</v>
      </c>
      <c r="N607" t="s">
        <v>17</v>
      </c>
    </row>
    <row r="608" spans="1:14">
      <c r="A608">
        <v>11644</v>
      </c>
      <c r="B608" t="s">
        <v>42</v>
      </c>
      <c r="C608" t="s">
        <v>44</v>
      </c>
      <c r="D608" s="3">
        <v>40000</v>
      </c>
      <c r="E608" s="3" t="s">
        <v>45</v>
      </c>
      <c r="F608">
        <v>2</v>
      </c>
      <c r="G608" t="s">
        <v>15</v>
      </c>
      <c r="H608" t="s">
        <v>16</v>
      </c>
      <c r="I608" t="s">
        <v>7</v>
      </c>
      <c r="J608">
        <v>0</v>
      </c>
      <c r="K608" t="s">
        <v>24</v>
      </c>
      <c r="L608" t="s">
        <v>35</v>
      </c>
      <c r="M608" t="s">
        <v>49</v>
      </c>
      <c r="N608" t="s">
        <v>20</v>
      </c>
    </row>
    <row r="609" spans="1:14">
      <c r="A609">
        <v>16145</v>
      </c>
      <c r="B609" t="s">
        <v>42</v>
      </c>
      <c r="C609" t="s">
        <v>43</v>
      </c>
      <c r="D609" s="3">
        <v>70000</v>
      </c>
      <c r="E609" s="3" t="s">
        <v>46</v>
      </c>
      <c r="F609">
        <v>5</v>
      </c>
      <c r="G609" t="s">
        <v>34</v>
      </c>
      <c r="H609" t="s">
        <v>23</v>
      </c>
      <c r="I609" t="s">
        <v>7</v>
      </c>
      <c r="J609">
        <v>3</v>
      </c>
      <c r="K609" t="s">
        <v>33</v>
      </c>
      <c r="L609" t="s">
        <v>35</v>
      </c>
      <c r="M609" t="s">
        <v>51</v>
      </c>
      <c r="N609" t="s">
        <v>17</v>
      </c>
    </row>
    <row r="610" spans="1:14">
      <c r="A610">
        <v>16890</v>
      </c>
      <c r="B610" t="s">
        <v>41</v>
      </c>
      <c r="C610" t="s">
        <v>44</v>
      </c>
      <c r="D610" s="3">
        <v>60000</v>
      </c>
      <c r="E610" s="3" t="s">
        <v>46</v>
      </c>
      <c r="F610">
        <v>3</v>
      </c>
      <c r="G610" t="s">
        <v>32</v>
      </c>
      <c r="H610" t="s">
        <v>16</v>
      </c>
      <c r="I610" t="s">
        <v>7</v>
      </c>
      <c r="J610">
        <v>2</v>
      </c>
      <c r="K610" t="s">
        <v>26</v>
      </c>
      <c r="L610" t="s">
        <v>35</v>
      </c>
      <c r="M610" t="s">
        <v>51</v>
      </c>
      <c r="N610" t="s">
        <v>17</v>
      </c>
    </row>
    <row r="611" spans="1:14">
      <c r="A611">
        <v>25983</v>
      </c>
      <c r="B611" t="s">
        <v>41</v>
      </c>
      <c r="C611" t="s">
        <v>44</v>
      </c>
      <c r="D611" s="3">
        <v>70000</v>
      </c>
      <c r="E611" s="3" t="s">
        <v>46</v>
      </c>
      <c r="F611">
        <v>0</v>
      </c>
      <c r="G611" t="s">
        <v>15</v>
      </c>
      <c r="H611" t="s">
        <v>23</v>
      </c>
      <c r="I611" t="s">
        <v>48</v>
      </c>
      <c r="J611">
        <v>1</v>
      </c>
      <c r="K611" t="s">
        <v>18</v>
      </c>
      <c r="L611" t="s">
        <v>35</v>
      </c>
      <c r="M611" t="s">
        <v>49</v>
      </c>
      <c r="N611" t="s">
        <v>20</v>
      </c>
    </row>
    <row r="612" spans="1:14">
      <c r="A612">
        <v>14633</v>
      </c>
      <c r="B612" t="s">
        <v>41</v>
      </c>
      <c r="C612" t="s">
        <v>44</v>
      </c>
      <c r="D612" s="3">
        <v>60000</v>
      </c>
      <c r="E612" s="3" t="s">
        <v>46</v>
      </c>
      <c r="F612">
        <v>1</v>
      </c>
      <c r="G612" t="s">
        <v>21</v>
      </c>
      <c r="H612" t="s">
        <v>16</v>
      </c>
      <c r="I612" t="s">
        <v>7</v>
      </c>
      <c r="J612">
        <v>1</v>
      </c>
      <c r="K612" t="s">
        <v>24</v>
      </c>
      <c r="L612" t="s">
        <v>35</v>
      </c>
      <c r="M612" t="s">
        <v>49</v>
      </c>
      <c r="N612" t="s">
        <v>20</v>
      </c>
    </row>
    <row r="613" spans="1:14">
      <c r="A613">
        <v>22994</v>
      </c>
      <c r="B613" t="s">
        <v>41</v>
      </c>
      <c r="C613" t="s">
        <v>43</v>
      </c>
      <c r="D613" s="3">
        <v>80000</v>
      </c>
      <c r="E613" s="3" t="s">
        <v>46</v>
      </c>
      <c r="F613">
        <v>0</v>
      </c>
      <c r="G613" t="s">
        <v>15</v>
      </c>
      <c r="H613" t="s">
        <v>31</v>
      </c>
      <c r="I613" t="s">
        <v>7</v>
      </c>
      <c r="J613">
        <v>1</v>
      </c>
      <c r="K613" t="s">
        <v>29</v>
      </c>
      <c r="L613" t="s">
        <v>35</v>
      </c>
      <c r="M613" t="s">
        <v>52</v>
      </c>
      <c r="N613" t="s">
        <v>17</v>
      </c>
    </row>
    <row r="614" spans="1:14">
      <c r="A614">
        <v>22983</v>
      </c>
      <c r="B614" t="s">
        <v>42</v>
      </c>
      <c r="C614" t="s">
        <v>43</v>
      </c>
      <c r="D614" s="3">
        <v>30000</v>
      </c>
      <c r="E614" s="3" t="s">
        <v>45</v>
      </c>
      <c r="F614">
        <v>0</v>
      </c>
      <c r="G614" t="s">
        <v>32</v>
      </c>
      <c r="H614" t="s">
        <v>22</v>
      </c>
      <c r="I614" t="s">
        <v>7</v>
      </c>
      <c r="J614">
        <v>2</v>
      </c>
      <c r="K614" t="s">
        <v>26</v>
      </c>
      <c r="L614" t="s">
        <v>35</v>
      </c>
      <c r="M614" t="s">
        <v>52</v>
      </c>
      <c r="N614" t="s">
        <v>20</v>
      </c>
    </row>
    <row r="615" spans="1:14">
      <c r="A615">
        <v>25184</v>
      </c>
      <c r="B615" t="s">
        <v>42</v>
      </c>
      <c r="C615" t="s">
        <v>44</v>
      </c>
      <c r="D615" s="3">
        <v>110000</v>
      </c>
      <c r="E615" s="3" t="s">
        <v>46</v>
      </c>
      <c r="F615">
        <v>1</v>
      </c>
      <c r="G615" t="s">
        <v>21</v>
      </c>
      <c r="H615" t="s">
        <v>23</v>
      </c>
      <c r="I615" t="s">
        <v>7</v>
      </c>
      <c r="J615">
        <v>4</v>
      </c>
      <c r="K615" t="s">
        <v>26</v>
      </c>
      <c r="L615" t="s">
        <v>35</v>
      </c>
      <c r="M615" t="s">
        <v>51</v>
      </c>
      <c r="N615" t="s">
        <v>17</v>
      </c>
    </row>
    <row r="616" spans="1:14">
      <c r="A616">
        <v>14469</v>
      </c>
      <c r="B616" t="s">
        <v>41</v>
      </c>
      <c r="C616" t="s">
        <v>43</v>
      </c>
      <c r="D616" s="3">
        <v>100000</v>
      </c>
      <c r="E616" s="3" t="s">
        <v>46</v>
      </c>
      <c r="F616">
        <v>3</v>
      </c>
      <c r="G616" t="s">
        <v>21</v>
      </c>
      <c r="H616" t="s">
        <v>23</v>
      </c>
      <c r="I616" t="s">
        <v>7</v>
      </c>
      <c r="J616">
        <v>4</v>
      </c>
      <c r="K616" t="s">
        <v>29</v>
      </c>
      <c r="L616" t="s">
        <v>35</v>
      </c>
      <c r="M616" t="s">
        <v>51</v>
      </c>
      <c r="N616" t="s">
        <v>20</v>
      </c>
    </row>
    <row r="617" spans="1:14">
      <c r="A617">
        <v>11538</v>
      </c>
      <c r="B617" t="s">
        <v>42</v>
      </c>
      <c r="C617" t="s">
        <v>43</v>
      </c>
      <c r="D617" s="3">
        <v>60000</v>
      </c>
      <c r="E617" s="3" t="s">
        <v>46</v>
      </c>
      <c r="F617">
        <v>4</v>
      </c>
      <c r="G617" t="s">
        <v>34</v>
      </c>
      <c r="H617" t="s">
        <v>16</v>
      </c>
      <c r="I617" t="s">
        <v>48</v>
      </c>
      <c r="J617">
        <v>0</v>
      </c>
      <c r="K617" t="s">
        <v>18</v>
      </c>
      <c r="L617" t="s">
        <v>35</v>
      </c>
      <c r="M617" t="s">
        <v>51</v>
      </c>
      <c r="N617" t="s">
        <v>17</v>
      </c>
    </row>
    <row r="618" spans="1:14">
      <c r="A618">
        <v>16245</v>
      </c>
      <c r="B618" t="s">
        <v>42</v>
      </c>
      <c r="C618" t="s">
        <v>43</v>
      </c>
      <c r="D618" s="3">
        <v>80000</v>
      </c>
      <c r="E618" s="3" t="s">
        <v>46</v>
      </c>
      <c r="F618">
        <v>4</v>
      </c>
      <c r="G618" t="s">
        <v>34</v>
      </c>
      <c r="H618" t="s">
        <v>16</v>
      </c>
      <c r="I618" t="s">
        <v>7</v>
      </c>
      <c r="J618">
        <v>0</v>
      </c>
      <c r="K618" t="s">
        <v>29</v>
      </c>
      <c r="L618" t="s">
        <v>35</v>
      </c>
      <c r="M618" t="s">
        <v>51</v>
      </c>
      <c r="N618" t="s">
        <v>20</v>
      </c>
    </row>
    <row r="619" spans="1:14">
      <c r="A619">
        <v>17858</v>
      </c>
      <c r="B619" t="s">
        <v>41</v>
      </c>
      <c r="C619" t="s">
        <v>44</v>
      </c>
      <c r="D619" s="3">
        <v>40000</v>
      </c>
      <c r="E619" s="3" t="s">
        <v>45</v>
      </c>
      <c r="F619">
        <v>4</v>
      </c>
      <c r="G619" t="s">
        <v>30</v>
      </c>
      <c r="H619" t="s">
        <v>16</v>
      </c>
      <c r="I619" t="s">
        <v>7</v>
      </c>
      <c r="J619">
        <v>2</v>
      </c>
      <c r="K619" t="s">
        <v>24</v>
      </c>
      <c r="L619" t="s">
        <v>35</v>
      </c>
      <c r="M619" t="s">
        <v>49</v>
      </c>
      <c r="N619" t="s">
        <v>17</v>
      </c>
    </row>
    <row r="620" spans="1:14">
      <c r="A620">
        <v>25347</v>
      </c>
      <c r="B620" t="s">
        <v>42</v>
      </c>
      <c r="C620" t="s">
        <v>43</v>
      </c>
      <c r="D620" s="3">
        <v>20000</v>
      </c>
      <c r="E620" s="3" t="s">
        <v>45</v>
      </c>
      <c r="F620">
        <v>3</v>
      </c>
      <c r="G620" t="s">
        <v>32</v>
      </c>
      <c r="H620" t="s">
        <v>22</v>
      </c>
      <c r="I620" t="s">
        <v>48</v>
      </c>
      <c r="J620">
        <v>2</v>
      </c>
      <c r="K620" t="s">
        <v>18</v>
      </c>
      <c r="L620" t="s">
        <v>35</v>
      </c>
      <c r="M620" t="s">
        <v>51</v>
      </c>
      <c r="N620" t="s">
        <v>20</v>
      </c>
    </row>
    <row r="621" spans="1:14">
      <c r="A621">
        <v>15814</v>
      </c>
      <c r="B621" t="s">
        <v>42</v>
      </c>
      <c r="C621" t="s">
        <v>43</v>
      </c>
      <c r="D621" s="3">
        <v>40000</v>
      </c>
      <c r="E621" s="3" t="s">
        <v>45</v>
      </c>
      <c r="F621">
        <v>0</v>
      </c>
      <c r="G621" t="s">
        <v>30</v>
      </c>
      <c r="H621" t="s">
        <v>16</v>
      </c>
      <c r="I621" t="s">
        <v>7</v>
      </c>
      <c r="J621">
        <v>1</v>
      </c>
      <c r="K621" t="s">
        <v>26</v>
      </c>
      <c r="L621" t="s">
        <v>35</v>
      </c>
      <c r="M621" t="s">
        <v>52</v>
      </c>
      <c r="N621" t="s">
        <v>20</v>
      </c>
    </row>
    <row r="622" spans="1:14">
      <c r="A622">
        <v>11259</v>
      </c>
      <c r="B622" t="s">
        <v>41</v>
      </c>
      <c r="C622" t="s">
        <v>43</v>
      </c>
      <c r="D622" s="3">
        <v>100000</v>
      </c>
      <c r="E622" s="3" t="s">
        <v>46</v>
      </c>
      <c r="F622">
        <v>4</v>
      </c>
      <c r="G622" t="s">
        <v>21</v>
      </c>
      <c r="H622" t="s">
        <v>23</v>
      </c>
      <c r="I622" t="s">
        <v>7</v>
      </c>
      <c r="J622">
        <v>4</v>
      </c>
      <c r="K622" t="s">
        <v>24</v>
      </c>
      <c r="L622" t="s">
        <v>35</v>
      </c>
      <c r="M622" t="s">
        <v>49</v>
      </c>
      <c r="N622" t="s">
        <v>17</v>
      </c>
    </row>
    <row r="623" spans="1:14">
      <c r="A623">
        <v>11200</v>
      </c>
      <c r="B623" t="s">
        <v>41</v>
      </c>
      <c r="C623" t="s">
        <v>44</v>
      </c>
      <c r="D623" s="3">
        <v>70000</v>
      </c>
      <c r="E623" s="3" t="s">
        <v>46</v>
      </c>
      <c r="F623">
        <v>4</v>
      </c>
      <c r="G623" t="s">
        <v>15</v>
      </c>
      <c r="H623" t="s">
        <v>31</v>
      </c>
      <c r="I623" t="s">
        <v>7</v>
      </c>
      <c r="J623">
        <v>1</v>
      </c>
      <c r="K623" t="s">
        <v>29</v>
      </c>
      <c r="L623" t="s">
        <v>35</v>
      </c>
      <c r="M623" t="s">
        <v>50</v>
      </c>
      <c r="N623" t="s">
        <v>20</v>
      </c>
    </row>
    <row r="624" spans="1:14">
      <c r="A624">
        <v>25101</v>
      </c>
      <c r="B624" t="s">
        <v>41</v>
      </c>
      <c r="C624" t="s">
        <v>44</v>
      </c>
      <c r="D624" s="3">
        <v>60000</v>
      </c>
      <c r="E624" s="3" t="s">
        <v>46</v>
      </c>
      <c r="F624">
        <v>5</v>
      </c>
      <c r="G624" t="s">
        <v>15</v>
      </c>
      <c r="H624" t="s">
        <v>23</v>
      </c>
      <c r="I624" t="s">
        <v>7</v>
      </c>
      <c r="J624">
        <v>1</v>
      </c>
      <c r="K624" t="s">
        <v>24</v>
      </c>
      <c r="L624" t="s">
        <v>35</v>
      </c>
      <c r="M624" t="s">
        <v>51</v>
      </c>
      <c r="N624" t="s">
        <v>20</v>
      </c>
    </row>
    <row r="625" spans="1:14">
      <c r="A625">
        <v>21801</v>
      </c>
      <c r="B625" t="s">
        <v>41</v>
      </c>
      <c r="C625" t="s">
        <v>43</v>
      </c>
      <c r="D625" s="3">
        <v>70000</v>
      </c>
      <c r="E625" s="3" t="s">
        <v>46</v>
      </c>
      <c r="F625">
        <v>4</v>
      </c>
      <c r="G625" t="s">
        <v>21</v>
      </c>
      <c r="H625" t="s">
        <v>23</v>
      </c>
      <c r="I625" t="s">
        <v>7</v>
      </c>
      <c r="J625">
        <v>1</v>
      </c>
      <c r="K625" t="s">
        <v>29</v>
      </c>
      <c r="L625" t="s">
        <v>35</v>
      </c>
      <c r="M625" t="s">
        <v>50</v>
      </c>
      <c r="N625" t="s">
        <v>20</v>
      </c>
    </row>
    <row r="626" spans="1:14">
      <c r="A626">
        <v>25943</v>
      </c>
      <c r="B626" t="s">
        <v>42</v>
      </c>
      <c r="C626" t="s">
        <v>43</v>
      </c>
      <c r="D626" s="3">
        <v>70000</v>
      </c>
      <c r="E626" s="3" t="s">
        <v>46</v>
      </c>
      <c r="F626">
        <v>0</v>
      </c>
      <c r="G626" t="s">
        <v>21</v>
      </c>
      <c r="H626" t="s">
        <v>16</v>
      </c>
      <c r="I626" t="s">
        <v>48</v>
      </c>
      <c r="J626">
        <v>2</v>
      </c>
      <c r="K626" t="s">
        <v>18</v>
      </c>
      <c r="L626" t="s">
        <v>35</v>
      </c>
      <c r="M626" t="s">
        <v>52</v>
      </c>
      <c r="N626" t="s">
        <v>17</v>
      </c>
    </row>
    <row r="627" spans="1:14">
      <c r="A627">
        <v>22127</v>
      </c>
      <c r="B627" t="s">
        <v>41</v>
      </c>
      <c r="C627" t="s">
        <v>44</v>
      </c>
      <c r="D627" s="3">
        <v>60000</v>
      </c>
      <c r="E627" s="3" t="s">
        <v>46</v>
      </c>
      <c r="F627">
        <v>3</v>
      </c>
      <c r="G627" t="s">
        <v>34</v>
      </c>
      <c r="H627" t="s">
        <v>31</v>
      </c>
      <c r="I627" t="s">
        <v>7</v>
      </c>
      <c r="J627">
        <v>2</v>
      </c>
      <c r="K627" t="s">
        <v>29</v>
      </c>
      <c r="L627" t="s">
        <v>35</v>
      </c>
      <c r="M627" t="s">
        <v>53</v>
      </c>
      <c r="N627" t="s">
        <v>20</v>
      </c>
    </row>
    <row r="628" spans="1:14">
      <c r="A628">
        <v>20414</v>
      </c>
      <c r="B628" t="s">
        <v>41</v>
      </c>
      <c r="C628" t="s">
        <v>43</v>
      </c>
      <c r="D628" s="3">
        <v>60000</v>
      </c>
      <c r="E628" s="3" t="s">
        <v>46</v>
      </c>
      <c r="F628">
        <v>0</v>
      </c>
      <c r="G628" t="s">
        <v>21</v>
      </c>
      <c r="H628" t="s">
        <v>16</v>
      </c>
      <c r="I628" t="s">
        <v>7</v>
      </c>
      <c r="J628">
        <v>2</v>
      </c>
      <c r="K628" t="s">
        <v>26</v>
      </c>
      <c r="L628" t="s">
        <v>35</v>
      </c>
      <c r="M628" t="s">
        <v>52</v>
      </c>
      <c r="N628" t="s">
        <v>20</v>
      </c>
    </row>
    <row r="629" spans="1:14">
      <c r="A629">
        <v>23672</v>
      </c>
      <c r="B629" t="s">
        <v>41</v>
      </c>
      <c r="C629" t="s">
        <v>43</v>
      </c>
      <c r="D629" s="3">
        <v>60000</v>
      </c>
      <c r="E629" s="3" t="s">
        <v>46</v>
      </c>
      <c r="F629">
        <v>3</v>
      </c>
      <c r="G629" t="s">
        <v>34</v>
      </c>
      <c r="H629" t="s">
        <v>31</v>
      </c>
      <c r="I629" t="s">
        <v>7</v>
      </c>
      <c r="J629">
        <v>2</v>
      </c>
      <c r="K629" t="s">
        <v>29</v>
      </c>
      <c r="L629" t="s">
        <v>35</v>
      </c>
      <c r="M629" t="s">
        <v>53</v>
      </c>
      <c r="N629" t="s">
        <v>20</v>
      </c>
    </row>
    <row r="630" spans="1:14">
      <c r="A630">
        <v>29255</v>
      </c>
      <c r="B630" t="s">
        <v>42</v>
      </c>
      <c r="C630" t="s">
        <v>44</v>
      </c>
      <c r="D630" s="3">
        <v>80000</v>
      </c>
      <c r="E630" s="3" t="s">
        <v>46</v>
      </c>
      <c r="F630">
        <v>3</v>
      </c>
      <c r="G630" t="s">
        <v>21</v>
      </c>
      <c r="H630" t="s">
        <v>23</v>
      </c>
      <c r="I630" t="s">
        <v>48</v>
      </c>
      <c r="J630">
        <v>1</v>
      </c>
      <c r="K630" t="s">
        <v>29</v>
      </c>
      <c r="L630" t="s">
        <v>35</v>
      </c>
      <c r="M630" t="s">
        <v>51</v>
      </c>
      <c r="N630" t="s">
        <v>17</v>
      </c>
    </row>
    <row r="631" spans="1:14">
      <c r="A631">
        <v>28815</v>
      </c>
      <c r="B631" t="s">
        <v>41</v>
      </c>
      <c r="C631" t="s">
        <v>43</v>
      </c>
      <c r="D631" s="3">
        <v>50000</v>
      </c>
      <c r="E631" s="3" t="s">
        <v>45</v>
      </c>
      <c r="F631">
        <v>1</v>
      </c>
      <c r="G631" t="s">
        <v>34</v>
      </c>
      <c r="H631" t="s">
        <v>16</v>
      </c>
      <c r="I631" t="s">
        <v>7</v>
      </c>
      <c r="J631">
        <v>0</v>
      </c>
      <c r="K631" t="s">
        <v>18</v>
      </c>
      <c r="L631" t="s">
        <v>35</v>
      </c>
      <c r="M631" t="s">
        <v>49</v>
      </c>
      <c r="N631" t="s">
        <v>20</v>
      </c>
    </row>
    <row r="632" spans="1:14">
      <c r="A632">
        <v>27753</v>
      </c>
      <c r="B632" t="s">
        <v>41</v>
      </c>
      <c r="C632" t="s">
        <v>44</v>
      </c>
      <c r="D632" s="3">
        <v>40000</v>
      </c>
      <c r="E632" s="3" t="s">
        <v>45</v>
      </c>
      <c r="F632">
        <v>0</v>
      </c>
      <c r="G632" t="s">
        <v>30</v>
      </c>
      <c r="H632" t="s">
        <v>16</v>
      </c>
      <c r="I632" t="s">
        <v>48</v>
      </c>
      <c r="J632">
        <v>2</v>
      </c>
      <c r="K632" t="s">
        <v>29</v>
      </c>
      <c r="L632" t="s">
        <v>35</v>
      </c>
      <c r="M632" t="s">
        <v>52</v>
      </c>
      <c r="N632" t="s">
        <v>20</v>
      </c>
    </row>
    <row r="633" spans="1:14">
      <c r="A633">
        <v>27643</v>
      </c>
      <c r="B633" t="s">
        <v>42</v>
      </c>
      <c r="C633" t="s">
        <v>44</v>
      </c>
      <c r="D633" s="3">
        <v>70000</v>
      </c>
      <c r="E633" s="3" t="s">
        <v>46</v>
      </c>
      <c r="F633">
        <v>5</v>
      </c>
      <c r="G633" t="s">
        <v>21</v>
      </c>
      <c r="H633" t="s">
        <v>23</v>
      </c>
      <c r="I633" t="s">
        <v>7</v>
      </c>
      <c r="J633">
        <v>3</v>
      </c>
      <c r="K633" t="s">
        <v>24</v>
      </c>
      <c r="L633" t="s">
        <v>35</v>
      </c>
      <c r="M633" t="s">
        <v>49</v>
      </c>
      <c r="N633" t="s">
        <v>20</v>
      </c>
    </row>
    <row r="634" spans="1:14">
      <c r="A634">
        <v>13754</v>
      </c>
      <c r="B634" t="s">
        <v>42</v>
      </c>
      <c r="C634" t="s">
        <v>43</v>
      </c>
      <c r="D634" s="3">
        <v>80000</v>
      </c>
      <c r="E634" s="3" t="s">
        <v>46</v>
      </c>
      <c r="F634">
        <v>4</v>
      </c>
      <c r="G634" t="s">
        <v>34</v>
      </c>
      <c r="H634" t="s">
        <v>16</v>
      </c>
      <c r="I634" t="s">
        <v>7</v>
      </c>
      <c r="J634">
        <v>0</v>
      </c>
      <c r="K634" t="s">
        <v>29</v>
      </c>
      <c r="L634" t="s">
        <v>35</v>
      </c>
      <c r="M634" t="s">
        <v>51</v>
      </c>
      <c r="N634" t="s">
        <v>20</v>
      </c>
    </row>
    <row r="635" spans="1:14">
      <c r="A635">
        <v>22088</v>
      </c>
      <c r="B635" t="s">
        <v>41</v>
      </c>
      <c r="C635" t="s">
        <v>43</v>
      </c>
      <c r="D635" s="3">
        <v>130000</v>
      </c>
      <c r="E635" s="3" t="s">
        <v>47</v>
      </c>
      <c r="F635">
        <v>1</v>
      </c>
      <c r="G635" t="s">
        <v>15</v>
      </c>
      <c r="H635" t="s">
        <v>31</v>
      </c>
      <c r="I635" t="s">
        <v>7</v>
      </c>
      <c r="J635">
        <v>2</v>
      </c>
      <c r="K635" t="s">
        <v>18</v>
      </c>
      <c r="L635" t="s">
        <v>35</v>
      </c>
      <c r="M635" t="s">
        <v>51</v>
      </c>
      <c r="N635" t="s">
        <v>17</v>
      </c>
    </row>
    <row r="636" spans="1:14">
      <c r="A636">
        <v>27388</v>
      </c>
      <c r="B636" t="s">
        <v>41</v>
      </c>
      <c r="C636" t="s">
        <v>44</v>
      </c>
      <c r="D636" s="3">
        <v>60000</v>
      </c>
      <c r="E636" s="3" t="s">
        <v>46</v>
      </c>
      <c r="F636">
        <v>3</v>
      </c>
      <c r="G636" t="s">
        <v>15</v>
      </c>
      <c r="H636" t="s">
        <v>31</v>
      </c>
      <c r="I636" t="s">
        <v>48</v>
      </c>
      <c r="J636">
        <v>2</v>
      </c>
      <c r="K636" t="s">
        <v>29</v>
      </c>
      <c r="L636" t="s">
        <v>35</v>
      </c>
      <c r="M636" t="s">
        <v>53</v>
      </c>
      <c r="N636" t="s">
        <v>20</v>
      </c>
    </row>
    <row r="637" spans="1:14">
      <c r="A637">
        <v>24745</v>
      </c>
      <c r="B637" t="s">
        <v>42</v>
      </c>
      <c r="C637" t="s">
        <v>43</v>
      </c>
      <c r="D637" s="3">
        <v>30000</v>
      </c>
      <c r="E637" s="3" t="s">
        <v>45</v>
      </c>
      <c r="F637">
        <v>2</v>
      </c>
      <c r="G637" t="s">
        <v>30</v>
      </c>
      <c r="H637" t="s">
        <v>16</v>
      </c>
      <c r="I637" t="s">
        <v>48</v>
      </c>
      <c r="J637">
        <v>2</v>
      </c>
      <c r="K637" t="s">
        <v>18</v>
      </c>
      <c r="L637" t="s">
        <v>35</v>
      </c>
      <c r="M637" t="s">
        <v>51</v>
      </c>
      <c r="N637" t="s">
        <v>20</v>
      </c>
    </row>
    <row r="638" spans="1:14">
      <c r="A638">
        <v>29237</v>
      </c>
      <c r="B638" t="s">
        <v>42</v>
      </c>
      <c r="C638" t="s">
        <v>43</v>
      </c>
      <c r="D638" s="3">
        <v>120000</v>
      </c>
      <c r="E638" s="3" t="s">
        <v>47</v>
      </c>
      <c r="F638">
        <v>4</v>
      </c>
      <c r="G638" t="s">
        <v>21</v>
      </c>
      <c r="H638" t="s">
        <v>23</v>
      </c>
      <c r="I638" t="s">
        <v>7</v>
      </c>
      <c r="J638">
        <v>3</v>
      </c>
      <c r="K638" t="s">
        <v>26</v>
      </c>
      <c r="L638" t="s">
        <v>35</v>
      </c>
      <c r="M638" t="s">
        <v>49</v>
      </c>
      <c r="N638" t="s">
        <v>17</v>
      </c>
    </row>
    <row r="639" spans="1:14">
      <c r="A639">
        <v>15272</v>
      </c>
      <c r="B639" t="s">
        <v>42</v>
      </c>
      <c r="C639" t="s">
        <v>44</v>
      </c>
      <c r="D639" s="3">
        <v>40000</v>
      </c>
      <c r="E639" s="3" t="s">
        <v>45</v>
      </c>
      <c r="F639">
        <v>0</v>
      </c>
      <c r="G639" t="s">
        <v>30</v>
      </c>
      <c r="H639" t="s">
        <v>16</v>
      </c>
      <c r="I639" t="s">
        <v>48</v>
      </c>
      <c r="J639">
        <v>2</v>
      </c>
      <c r="K639" t="s">
        <v>29</v>
      </c>
      <c r="L639" t="s">
        <v>35</v>
      </c>
      <c r="M639" t="s">
        <v>52</v>
      </c>
      <c r="N639" t="s">
        <v>20</v>
      </c>
    </row>
    <row r="640" spans="1:14">
      <c r="A640">
        <v>18949</v>
      </c>
      <c r="B640" t="s">
        <v>42</v>
      </c>
      <c r="C640" t="s">
        <v>44</v>
      </c>
      <c r="D640" s="3">
        <v>70000</v>
      </c>
      <c r="E640" s="3" t="s">
        <v>46</v>
      </c>
      <c r="F640">
        <v>0</v>
      </c>
      <c r="G640" t="s">
        <v>34</v>
      </c>
      <c r="H640" t="s">
        <v>31</v>
      </c>
      <c r="I640" t="s">
        <v>7</v>
      </c>
      <c r="J640">
        <v>2</v>
      </c>
      <c r="K640" t="s">
        <v>26</v>
      </c>
      <c r="L640" t="s">
        <v>35</v>
      </c>
      <c r="M640" t="s">
        <v>53</v>
      </c>
      <c r="N640" t="s">
        <v>17</v>
      </c>
    </row>
    <row r="641" spans="1:14">
      <c r="A641">
        <v>14507</v>
      </c>
      <c r="B641" t="s">
        <v>41</v>
      </c>
      <c r="C641" t="s">
        <v>44</v>
      </c>
      <c r="D641" s="3">
        <v>100000</v>
      </c>
      <c r="E641" s="3" t="s">
        <v>46</v>
      </c>
      <c r="F641">
        <v>2</v>
      </c>
      <c r="G641" t="s">
        <v>34</v>
      </c>
      <c r="H641" t="s">
        <v>31</v>
      </c>
      <c r="I641" t="s">
        <v>7</v>
      </c>
      <c r="J641">
        <v>3</v>
      </c>
      <c r="K641" t="s">
        <v>29</v>
      </c>
      <c r="L641" t="s">
        <v>35</v>
      </c>
      <c r="M641" t="s">
        <v>53</v>
      </c>
      <c r="N641" t="s">
        <v>20</v>
      </c>
    </row>
    <row r="642" spans="1:14">
      <c r="A642">
        <v>25886</v>
      </c>
      <c r="B642" t="s">
        <v>41</v>
      </c>
      <c r="C642" t="s">
        <v>43</v>
      </c>
      <c r="D642" s="3">
        <v>60000</v>
      </c>
      <c r="E642" s="3" t="s">
        <v>46</v>
      </c>
      <c r="F642">
        <v>2</v>
      </c>
      <c r="G642" t="s">
        <v>21</v>
      </c>
      <c r="H642" t="s">
        <v>23</v>
      </c>
      <c r="I642" t="s">
        <v>7</v>
      </c>
      <c r="J642">
        <v>2</v>
      </c>
      <c r="K642" t="s">
        <v>24</v>
      </c>
      <c r="L642" t="s">
        <v>35</v>
      </c>
      <c r="M642" t="s">
        <v>50</v>
      </c>
      <c r="N642" t="s">
        <v>17</v>
      </c>
    </row>
    <row r="643" spans="1:14">
      <c r="A643">
        <v>21441</v>
      </c>
      <c r="B643" t="s">
        <v>41</v>
      </c>
      <c r="C643" t="s">
        <v>44</v>
      </c>
      <c r="D643" s="3">
        <v>50000</v>
      </c>
      <c r="E643" s="3" t="s">
        <v>45</v>
      </c>
      <c r="F643">
        <v>4</v>
      </c>
      <c r="G643" t="s">
        <v>15</v>
      </c>
      <c r="H643" t="s">
        <v>31</v>
      </c>
      <c r="I643" t="s">
        <v>7</v>
      </c>
      <c r="J643">
        <v>2</v>
      </c>
      <c r="K643" t="s">
        <v>33</v>
      </c>
      <c r="L643" t="s">
        <v>35</v>
      </c>
      <c r="M643" t="s">
        <v>50</v>
      </c>
      <c r="N643" t="s">
        <v>20</v>
      </c>
    </row>
    <row r="644" spans="1:14">
      <c r="A644">
        <v>21741</v>
      </c>
      <c r="B644" t="s">
        <v>41</v>
      </c>
      <c r="C644" t="s">
        <v>43</v>
      </c>
      <c r="D644" s="3">
        <v>70000</v>
      </c>
      <c r="E644" s="3" t="s">
        <v>46</v>
      </c>
      <c r="F644">
        <v>3</v>
      </c>
      <c r="G644" t="s">
        <v>21</v>
      </c>
      <c r="H644" t="s">
        <v>23</v>
      </c>
      <c r="I644" t="s">
        <v>7</v>
      </c>
      <c r="J644">
        <v>2</v>
      </c>
      <c r="K644" t="s">
        <v>26</v>
      </c>
      <c r="L644" t="s">
        <v>35</v>
      </c>
      <c r="M644" t="s">
        <v>51</v>
      </c>
      <c r="N644" t="s">
        <v>17</v>
      </c>
    </row>
    <row r="645" spans="1:14">
      <c r="A645">
        <v>14572</v>
      </c>
      <c r="B645" t="s">
        <v>41</v>
      </c>
      <c r="C645" t="s">
        <v>43</v>
      </c>
      <c r="D645" s="3">
        <v>70000</v>
      </c>
      <c r="E645" s="3" t="s">
        <v>46</v>
      </c>
      <c r="F645">
        <v>3</v>
      </c>
      <c r="G645" t="s">
        <v>34</v>
      </c>
      <c r="H645" t="s">
        <v>23</v>
      </c>
      <c r="I645" t="s">
        <v>7</v>
      </c>
      <c r="J645">
        <v>0</v>
      </c>
      <c r="K645" t="s">
        <v>24</v>
      </c>
      <c r="L645" t="s">
        <v>35</v>
      </c>
      <c r="M645" t="s">
        <v>49</v>
      </c>
      <c r="N645" t="s">
        <v>17</v>
      </c>
    </row>
    <row r="646" spans="1:14">
      <c r="A646">
        <v>23368</v>
      </c>
      <c r="B646" t="s">
        <v>41</v>
      </c>
      <c r="C646" t="s">
        <v>43</v>
      </c>
      <c r="D646" s="3">
        <v>60000</v>
      </c>
      <c r="E646" s="3" t="s">
        <v>46</v>
      </c>
      <c r="F646">
        <v>5</v>
      </c>
      <c r="G646" t="s">
        <v>15</v>
      </c>
      <c r="H646" t="s">
        <v>16</v>
      </c>
      <c r="I646" t="s">
        <v>7</v>
      </c>
      <c r="J646">
        <v>3</v>
      </c>
      <c r="K646" t="s">
        <v>33</v>
      </c>
      <c r="L646" t="s">
        <v>35</v>
      </c>
      <c r="M646" t="s">
        <v>49</v>
      </c>
      <c r="N646" t="s">
        <v>20</v>
      </c>
    </row>
    <row r="647" spans="1:14">
      <c r="A647">
        <v>16217</v>
      </c>
      <c r="B647" t="s">
        <v>42</v>
      </c>
      <c r="C647" t="s">
        <v>43</v>
      </c>
      <c r="D647" s="3">
        <v>60000</v>
      </c>
      <c r="E647" s="3" t="s">
        <v>46</v>
      </c>
      <c r="F647">
        <v>0</v>
      </c>
      <c r="G647" t="s">
        <v>34</v>
      </c>
      <c r="H647" t="s">
        <v>16</v>
      </c>
      <c r="I647" t="s">
        <v>7</v>
      </c>
      <c r="J647">
        <v>0</v>
      </c>
      <c r="K647" t="s">
        <v>18</v>
      </c>
      <c r="L647" t="s">
        <v>35</v>
      </c>
      <c r="M647" t="s">
        <v>49</v>
      </c>
      <c r="N647" t="s">
        <v>20</v>
      </c>
    </row>
    <row r="648" spans="1:14">
      <c r="A648">
        <v>16247</v>
      </c>
      <c r="B648" t="s">
        <v>42</v>
      </c>
      <c r="C648" t="s">
        <v>43</v>
      </c>
      <c r="D648" s="3">
        <v>60000</v>
      </c>
      <c r="E648" s="3" t="s">
        <v>46</v>
      </c>
      <c r="F648">
        <v>4</v>
      </c>
      <c r="G648" t="s">
        <v>34</v>
      </c>
      <c r="H648" t="s">
        <v>16</v>
      </c>
      <c r="I648" t="s">
        <v>48</v>
      </c>
      <c r="J648">
        <v>0</v>
      </c>
      <c r="K648" t="s">
        <v>29</v>
      </c>
      <c r="L648" t="s">
        <v>35</v>
      </c>
      <c r="M648" t="s">
        <v>51</v>
      </c>
      <c r="N648" t="s">
        <v>20</v>
      </c>
    </row>
    <row r="649" spans="1:14">
      <c r="A649">
        <v>22010</v>
      </c>
      <c r="B649" t="s">
        <v>42</v>
      </c>
      <c r="C649" t="s">
        <v>44</v>
      </c>
      <c r="D649" s="3">
        <v>40000</v>
      </c>
      <c r="E649" s="3" t="s">
        <v>45</v>
      </c>
      <c r="F649">
        <v>0</v>
      </c>
      <c r="G649" t="s">
        <v>30</v>
      </c>
      <c r="H649" t="s">
        <v>16</v>
      </c>
      <c r="I649" t="s">
        <v>7</v>
      </c>
      <c r="J649">
        <v>2</v>
      </c>
      <c r="K649" t="s">
        <v>26</v>
      </c>
      <c r="L649" t="s">
        <v>35</v>
      </c>
      <c r="M649" t="s">
        <v>52</v>
      </c>
      <c r="N649" t="s">
        <v>20</v>
      </c>
    </row>
    <row r="650" spans="1:14">
      <c r="A650">
        <v>25872</v>
      </c>
      <c r="B650" t="s">
        <v>42</v>
      </c>
      <c r="C650" t="s">
        <v>43</v>
      </c>
      <c r="D650" s="3">
        <v>70000</v>
      </c>
      <c r="E650" s="3" t="s">
        <v>46</v>
      </c>
      <c r="F650">
        <v>2</v>
      </c>
      <c r="G650" t="s">
        <v>15</v>
      </c>
      <c r="H650" t="s">
        <v>31</v>
      </c>
      <c r="I650" t="s">
        <v>48</v>
      </c>
      <c r="J650">
        <v>1</v>
      </c>
      <c r="K650" t="s">
        <v>24</v>
      </c>
      <c r="L650" t="s">
        <v>35</v>
      </c>
      <c r="M650" t="s">
        <v>50</v>
      </c>
      <c r="N650" t="s">
        <v>17</v>
      </c>
    </row>
    <row r="651" spans="1:14">
      <c r="A651">
        <v>19164</v>
      </c>
      <c r="B651" t="s">
        <v>42</v>
      </c>
      <c r="C651" t="s">
        <v>43</v>
      </c>
      <c r="D651" s="3">
        <v>70000</v>
      </c>
      <c r="E651" s="3" t="s">
        <v>46</v>
      </c>
      <c r="F651">
        <v>0</v>
      </c>
      <c r="G651" t="s">
        <v>15</v>
      </c>
      <c r="H651" t="s">
        <v>23</v>
      </c>
      <c r="I651" t="s">
        <v>48</v>
      </c>
      <c r="J651">
        <v>1</v>
      </c>
      <c r="K651" t="s">
        <v>24</v>
      </c>
      <c r="L651" t="s">
        <v>35</v>
      </c>
      <c r="M651" t="s">
        <v>49</v>
      </c>
      <c r="N651" t="s">
        <v>17</v>
      </c>
    </row>
    <row r="652" spans="1:14">
      <c r="A652">
        <v>18435</v>
      </c>
      <c r="B652" t="s">
        <v>42</v>
      </c>
      <c r="C652" t="s">
        <v>43</v>
      </c>
      <c r="D652" s="3">
        <v>70000</v>
      </c>
      <c r="E652" s="3" t="s">
        <v>46</v>
      </c>
      <c r="F652">
        <v>5</v>
      </c>
      <c r="G652" t="s">
        <v>34</v>
      </c>
      <c r="H652" t="s">
        <v>31</v>
      </c>
      <c r="I652" t="s">
        <v>7</v>
      </c>
      <c r="J652">
        <v>2</v>
      </c>
      <c r="K652" t="s">
        <v>33</v>
      </c>
      <c r="L652" t="s">
        <v>35</v>
      </c>
      <c r="M652" t="s">
        <v>53</v>
      </c>
      <c r="N652" t="s">
        <v>17</v>
      </c>
    </row>
    <row r="653" spans="1:14">
      <c r="A653">
        <v>14284</v>
      </c>
      <c r="B653" t="s">
        <v>42</v>
      </c>
      <c r="C653" t="s">
        <v>44</v>
      </c>
      <c r="D653" s="3">
        <v>60000</v>
      </c>
      <c r="E653" s="3" t="s">
        <v>46</v>
      </c>
      <c r="F653">
        <v>0</v>
      </c>
      <c r="G653" t="s">
        <v>21</v>
      </c>
      <c r="H653" t="s">
        <v>23</v>
      </c>
      <c r="I653" t="s">
        <v>48</v>
      </c>
      <c r="J653">
        <v>2</v>
      </c>
      <c r="K653" t="s">
        <v>29</v>
      </c>
      <c r="L653" t="s">
        <v>35</v>
      </c>
      <c r="M653" t="s">
        <v>52</v>
      </c>
      <c r="N653" t="s">
        <v>17</v>
      </c>
    </row>
    <row r="654" spans="1:14">
      <c r="A654">
        <v>11287</v>
      </c>
      <c r="B654" t="s">
        <v>41</v>
      </c>
      <c r="C654" t="s">
        <v>44</v>
      </c>
      <c r="D654" s="3">
        <v>70000</v>
      </c>
      <c r="E654" s="3" t="s">
        <v>46</v>
      </c>
      <c r="F654">
        <v>5</v>
      </c>
      <c r="G654" t="s">
        <v>21</v>
      </c>
      <c r="H654" t="s">
        <v>23</v>
      </c>
      <c r="I654" t="s">
        <v>48</v>
      </c>
      <c r="J654">
        <v>3</v>
      </c>
      <c r="K654" t="s">
        <v>26</v>
      </c>
      <c r="L654" t="s">
        <v>35</v>
      </c>
      <c r="M654" t="s">
        <v>51</v>
      </c>
      <c r="N654" t="s">
        <v>20</v>
      </c>
    </row>
    <row r="655" spans="1:14">
      <c r="A655">
        <v>13066</v>
      </c>
      <c r="B655" t="s">
        <v>42</v>
      </c>
      <c r="C655" t="s">
        <v>44</v>
      </c>
      <c r="D655" s="3">
        <v>30000</v>
      </c>
      <c r="E655" s="3" t="s">
        <v>45</v>
      </c>
      <c r="F655">
        <v>0</v>
      </c>
      <c r="G655" t="s">
        <v>30</v>
      </c>
      <c r="H655" t="s">
        <v>16</v>
      </c>
      <c r="I655" t="s">
        <v>48</v>
      </c>
      <c r="J655">
        <v>2</v>
      </c>
      <c r="K655" t="s">
        <v>29</v>
      </c>
      <c r="L655" t="s">
        <v>35</v>
      </c>
      <c r="M655" t="s">
        <v>52</v>
      </c>
      <c r="N655" t="s">
        <v>17</v>
      </c>
    </row>
    <row r="656" spans="1:14">
      <c r="A656">
        <v>29106</v>
      </c>
      <c r="B656" t="s">
        <v>42</v>
      </c>
      <c r="C656" t="s">
        <v>44</v>
      </c>
      <c r="D656" s="3">
        <v>40000</v>
      </c>
      <c r="E656" s="3" t="s">
        <v>45</v>
      </c>
      <c r="F656">
        <v>0</v>
      </c>
      <c r="G656" t="s">
        <v>30</v>
      </c>
      <c r="H656" t="s">
        <v>16</v>
      </c>
      <c r="I656" t="s">
        <v>48</v>
      </c>
      <c r="J656">
        <v>2</v>
      </c>
      <c r="K656" t="s">
        <v>29</v>
      </c>
      <c r="L656" t="s">
        <v>35</v>
      </c>
      <c r="M656" t="s">
        <v>52</v>
      </c>
      <c r="N656" t="s">
        <v>17</v>
      </c>
    </row>
    <row r="657" spans="1:14">
      <c r="A657">
        <v>26236</v>
      </c>
      <c r="B657" t="s">
        <v>41</v>
      </c>
      <c r="C657" t="s">
        <v>43</v>
      </c>
      <c r="D657" s="3">
        <v>40000</v>
      </c>
      <c r="E657" s="3" t="s">
        <v>45</v>
      </c>
      <c r="F657">
        <v>3</v>
      </c>
      <c r="G657" t="s">
        <v>21</v>
      </c>
      <c r="H657" t="s">
        <v>22</v>
      </c>
      <c r="I657" t="s">
        <v>7</v>
      </c>
      <c r="J657">
        <v>1</v>
      </c>
      <c r="K657" t="s">
        <v>18</v>
      </c>
      <c r="L657" t="s">
        <v>35</v>
      </c>
      <c r="M657" t="s">
        <v>52</v>
      </c>
      <c r="N657" t="s">
        <v>20</v>
      </c>
    </row>
    <row r="658" spans="1:14">
      <c r="A658">
        <v>17531</v>
      </c>
      <c r="B658" t="s">
        <v>41</v>
      </c>
      <c r="C658" t="s">
        <v>44</v>
      </c>
      <c r="D658" s="3">
        <v>60000</v>
      </c>
      <c r="E658" s="3" t="s">
        <v>46</v>
      </c>
      <c r="F658">
        <v>2</v>
      </c>
      <c r="G658" t="s">
        <v>30</v>
      </c>
      <c r="H658" t="s">
        <v>23</v>
      </c>
      <c r="I658" t="s">
        <v>48</v>
      </c>
      <c r="J658">
        <v>2</v>
      </c>
      <c r="K658" t="s">
        <v>26</v>
      </c>
      <c r="L658" t="s">
        <v>35</v>
      </c>
      <c r="M658" t="s">
        <v>51</v>
      </c>
      <c r="N658" t="s">
        <v>20</v>
      </c>
    </row>
    <row r="659" spans="1:14">
      <c r="A659">
        <v>12964</v>
      </c>
      <c r="B659" t="s">
        <v>41</v>
      </c>
      <c r="C659" t="s">
        <v>44</v>
      </c>
      <c r="D659" s="3">
        <v>70000</v>
      </c>
      <c r="E659" s="3" t="s">
        <v>46</v>
      </c>
      <c r="F659">
        <v>1</v>
      </c>
      <c r="G659" t="s">
        <v>21</v>
      </c>
      <c r="H659" t="s">
        <v>16</v>
      </c>
      <c r="I659" t="s">
        <v>7</v>
      </c>
      <c r="J659">
        <v>1</v>
      </c>
      <c r="K659" t="s">
        <v>18</v>
      </c>
      <c r="L659" t="s">
        <v>35</v>
      </c>
      <c r="M659" t="s">
        <v>49</v>
      </c>
      <c r="N659" t="s">
        <v>20</v>
      </c>
    </row>
    <row r="660" spans="1:14">
      <c r="A660">
        <v>19133</v>
      </c>
      <c r="B660" t="s">
        <v>42</v>
      </c>
      <c r="C660" t="s">
        <v>44</v>
      </c>
      <c r="D660" s="3">
        <v>50000</v>
      </c>
      <c r="E660" s="3" t="s">
        <v>45</v>
      </c>
      <c r="F660">
        <v>2</v>
      </c>
      <c r="G660" t="s">
        <v>15</v>
      </c>
      <c r="H660" t="s">
        <v>16</v>
      </c>
      <c r="I660" t="s">
        <v>7</v>
      </c>
      <c r="J660">
        <v>1</v>
      </c>
      <c r="K660" t="s">
        <v>24</v>
      </c>
      <c r="L660" t="s">
        <v>35</v>
      </c>
      <c r="M660" t="s">
        <v>49</v>
      </c>
      <c r="N660" t="s">
        <v>17</v>
      </c>
    </row>
    <row r="661" spans="1:14">
      <c r="A661">
        <v>24643</v>
      </c>
      <c r="B661" t="s">
        <v>42</v>
      </c>
      <c r="C661" t="s">
        <v>43</v>
      </c>
      <c r="D661" s="3">
        <v>60000</v>
      </c>
      <c r="E661" s="3" t="s">
        <v>46</v>
      </c>
      <c r="F661">
        <v>4</v>
      </c>
      <c r="G661" t="s">
        <v>15</v>
      </c>
      <c r="H661" t="s">
        <v>31</v>
      </c>
      <c r="I661" t="s">
        <v>7</v>
      </c>
      <c r="J661">
        <v>2</v>
      </c>
      <c r="K661" t="s">
        <v>33</v>
      </c>
      <c r="L661" t="s">
        <v>35</v>
      </c>
      <c r="M661" t="s">
        <v>50</v>
      </c>
      <c r="N661" t="s">
        <v>20</v>
      </c>
    </row>
    <row r="662" spans="1:14">
      <c r="A662">
        <v>21599</v>
      </c>
      <c r="B662" t="s">
        <v>41</v>
      </c>
      <c r="C662" t="s">
        <v>43</v>
      </c>
      <c r="D662" s="3">
        <v>60000</v>
      </c>
      <c r="E662" s="3" t="s">
        <v>46</v>
      </c>
      <c r="F662">
        <v>1</v>
      </c>
      <c r="G662" t="s">
        <v>34</v>
      </c>
      <c r="H662" t="s">
        <v>23</v>
      </c>
      <c r="I662" t="s">
        <v>7</v>
      </c>
      <c r="J662">
        <v>0</v>
      </c>
      <c r="K662" t="s">
        <v>24</v>
      </c>
      <c r="L662" t="s">
        <v>35</v>
      </c>
      <c r="M662" t="s">
        <v>49</v>
      </c>
      <c r="N662" t="s">
        <v>17</v>
      </c>
    </row>
    <row r="663" spans="1:14">
      <c r="A663">
        <v>22976</v>
      </c>
      <c r="B663" t="s">
        <v>42</v>
      </c>
      <c r="C663" t="s">
        <v>44</v>
      </c>
      <c r="D663" s="3">
        <v>40000</v>
      </c>
      <c r="E663" s="3" t="s">
        <v>45</v>
      </c>
      <c r="F663">
        <v>0</v>
      </c>
      <c r="G663" t="s">
        <v>30</v>
      </c>
      <c r="H663" t="s">
        <v>16</v>
      </c>
      <c r="I663" t="s">
        <v>48</v>
      </c>
      <c r="J663">
        <v>2</v>
      </c>
      <c r="K663" t="s">
        <v>18</v>
      </c>
      <c r="L663" t="s">
        <v>35</v>
      </c>
      <c r="M663" t="s">
        <v>52</v>
      </c>
      <c r="N663" t="s">
        <v>17</v>
      </c>
    </row>
    <row r="664" spans="1:14">
      <c r="A664">
        <v>27637</v>
      </c>
      <c r="B664" t="s">
        <v>42</v>
      </c>
      <c r="C664" t="s">
        <v>43</v>
      </c>
      <c r="D664" s="3">
        <v>100000</v>
      </c>
      <c r="E664" s="3" t="s">
        <v>46</v>
      </c>
      <c r="F664">
        <v>1</v>
      </c>
      <c r="G664" t="s">
        <v>21</v>
      </c>
      <c r="H664" t="s">
        <v>23</v>
      </c>
      <c r="I664" t="s">
        <v>48</v>
      </c>
      <c r="J664">
        <v>3</v>
      </c>
      <c r="K664" t="s">
        <v>29</v>
      </c>
      <c r="L664" t="s">
        <v>35</v>
      </c>
      <c r="M664" t="s">
        <v>49</v>
      </c>
      <c r="N664" t="s">
        <v>20</v>
      </c>
    </row>
    <row r="665" spans="1:14">
      <c r="A665">
        <v>11890</v>
      </c>
      <c r="B665" t="s">
        <v>41</v>
      </c>
      <c r="C665" t="s">
        <v>43</v>
      </c>
      <c r="D665" s="3">
        <v>70000</v>
      </c>
      <c r="E665" s="3" t="s">
        <v>46</v>
      </c>
      <c r="F665">
        <v>5</v>
      </c>
      <c r="G665" t="s">
        <v>34</v>
      </c>
      <c r="H665" t="s">
        <v>23</v>
      </c>
      <c r="I665" t="s">
        <v>7</v>
      </c>
      <c r="J665">
        <v>1</v>
      </c>
      <c r="K665" t="s">
        <v>18</v>
      </c>
      <c r="L665" t="s">
        <v>35</v>
      </c>
      <c r="M665" t="s">
        <v>51</v>
      </c>
      <c r="N665" t="s">
        <v>20</v>
      </c>
    </row>
    <row r="666" spans="1:14">
      <c r="A666">
        <v>28580</v>
      </c>
      <c r="B666" t="s">
        <v>41</v>
      </c>
      <c r="C666" t="s">
        <v>43</v>
      </c>
      <c r="D666" s="3">
        <v>80000</v>
      </c>
      <c r="E666" s="3" t="s">
        <v>46</v>
      </c>
      <c r="F666">
        <v>0</v>
      </c>
      <c r="G666" t="s">
        <v>34</v>
      </c>
      <c r="H666" t="s">
        <v>16</v>
      </c>
      <c r="I666" t="s">
        <v>7</v>
      </c>
      <c r="J666">
        <v>0</v>
      </c>
      <c r="K666" t="s">
        <v>29</v>
      </c>
      <c r="L666" t="s">
        <v>35</v>
      </c>
      <c r="M666" t="s">
        <v>49</v>
      </c>
      <c r="N666" t="s">
        <v>17</v>
      </c>
    </row>
    <row r="667" spans="1:14">
      <c r="A667">
        <v>14443</v>
      </c>
      <c r="B667" t="s">
        <v>41</v>
      </c>
      <c r="C667" t="s">
        <v>44</v>
      </c>
      <c r="D667" s="3">
        <v>130000</v>
      </c>
      <c r="E667" s="3" t="s">
        <v>47</v>
      </c>
      <c r="F667">
        <v>1</v>
      </c>
      <c r="G667" t="s">
        <v>34</v>
      </c>
      <c r="H667" t="s">
        <v>31</v>
      </c>
      <c r="I667" t="s">
        <v>7</v>
      </c>
      <c r="J667">
        <v>4</v>
      </c>
      <c r="K667" t="s">
        <v>18</v>
      </c>
      <c r="L667" t="s">
        <v>35</v>
      </c>
      <c r="M667" t="s">
        <v>49</v>
      </c>
      <c r="N667" t="s">
        <v>20</v>
      </c>
    </row>
    <row r="668" spans="1:14">
      <c r="A668">
        <v>17864</v>
      </c>
      <c r="B668" t="s">
        <v>41</v>
      </c>
      <c r="C668" t="s">
        <v>43</v>
      </c>
      <c r="D668" s="3">
        <v>60000</v>
      </c>
      <c r="E668" s="3" t="s">
        <v>46</v>
      </c>
      <c r="F668">
        <v>1</v>
      </c>
      <c r="G668" t="s">
        <v>21</v>
      </c>
      <c r="H668" t="s">
        <v>16</v>
      </c>
      <c r="I668" t="s">
        <v>7</v>
      </c>
      <c r="J668">
        <v>1</v>
      </c>
      <c r="K668" t="s">
        <v>24</v>
      </c>
      <c r="L668" t="s">
        <v>35</v>
      </c>
      <c r="M668" t="s">
        <v>51</v>
      </c>
      <c r="N668" t="s">
        <v>17</v>
      </c>
    </row>
    <row r="669" spans="1:14">
      <c r="A669">
        <v>20505</v>
      </c>
      <c r="B669" t="s">
        <v>41</v>
      </c>
      <c r="C669" t="s">
        <v>43</v>
      </c>
      <c r="D669" s="3">
        <v>40000</v>
      </c>
      <c r="E669" s="3" t="s">
        <v>45</v>
      </c>
      <c r="F669">
        <v>5</v>
      </c>
      <c r="G669" t="s">
        <v>30</v>
      </c>
      <c r="H669" t="s">
        <v>23</v>
      </c>
      <c r="I669" t="s">
        <v>48</v>
      </c>
      <c r="J669">
        <v>2</v>
      </c>
      <c r="K669" t="s">
        <v>33</v>
      </c>
      <c r="L669" t="s">
        <v>35</v>
      </c>
      <c r="M669" t="s">
        <v>50</v>
      </c>
      <c r="N669" t="s">
        <v>20</v>
      </c>
    </row>
    <row r="670" spans="1:14">
      <c r="A670">
        <v>14592</v>
      </c>
      <c r="B670" t="s">
        <v>41</v>
      </c>
      <c r="C670" t="s">
        <v>43</v>
      </c>
      <c r="D670" s="3">
        <v>60000</v>
      </c>
      <c r="E670" s="3" t="s">
        <v>46</v>
      </c>
      <c r="F670">
        <v>0</v>
      </c>
      <c r="G670" t="s">
        <v>34</v>
      </c>
      <c r="H670" t="s">
        <v>23</v>
      </c>
      <c r="I670" t="s">
        <v>7</v>
      </c>
      <c r="J670">
        <v>0</v>
      </c>
      <c r="K670" t="s">
        <v>18</v>
      </c>
      <c r="L670" t="s">
        <v>35</v>
      </c>
      <c r="M670" t="s">
        <v>49</v>
      </c>
      <c r="N670" t="s">
        <v>20</v>
      </c>
    </row>
    <row r="671" spans="1:14">
      <c r="A671">
        <v>22227</v>
      </c>
      <c r="B671" t="s">
        <v>41</v>
      </c>
      <c r="C671" t="s">
        <v>43</v>
      </c>
      <c r="D671" s="3">
        <v>60000</v>
      </c>
      <c r="E671" s="3" t="s">
        <v>46</v>
      </c>
      <c r="F671">
        <v>2</v>
      </c>
      <c r="G671" t="s">
        <v>30</v>
      </c>
      <c r="H671" t="s">
        <v>23</v>
      </c>
      <c r="I671" t="s">
        <v>7</v>
      </c>
      <c r="J671">
        <v>2</v>
      </c>
      <c r="K671" t="s">
        <v>26</v>
      </c>
      <c r="L671" t="s">
        <v>35</v>
      </c>
      <c r="M671" t="s">
        <v>51</v>
      </c>
      <c r="N671" t="s">
        <v>20</v>
      </c>
    </row>
    <row r="672" spans="1:14">
      <c r="A672">
        <v>21471</v>
      </c>
      <c r="B672" t="s">
        <v>41</v>
      </c>
      <c r="C672" t="s">
        <v>44</v>
      </c>
      <c r="D672" s="3">
        <v>70000</v>
      </c>
      <c r="E672" s="3" t="s">
        <v>46</v>
      </c>
      <c r="F672">
        <v>2</v>
      </c>
      <c r="G672" t="s">
        <v>21</v>
      </c>
      <c r="H672" t="s">
        <v>23</v>
      </c>
      <c r="I672" t="s">
        <v>7</v>
      </c>
      <c r="J672">
        <v>1</v>
      </c>
      <c r="K672" t="s">
        <v>33</v>
      </c>
      <c r="L672" t="s">
        <v>35</v>
      </c>
      <c r="M672" t="s">
        <v>50</v>
      </c>
      <c r="N672" t="s">
        <v>20</v>
      </c>
    </row>
    <row r="673" spans="1:14">
      <c r="A673">
        <v>22252</v>
      </c>
      <c r="B673" t="s">
        <v>42</v>
      </c>
      <c r="C673" t="s">
        <v>43</v>
      </c>
      <c r="D673" s="3">
        <v>60000</v>
      </c>
      <c r="E673" s="3" t="s">
        <v>46</v>
      </c>
      <c r="F673">
        <v>1</v>
      </c>
      <c r="G673" t="s">
        <v>34</v>
      </c>
      <c r="H673" t="s">
        <v>23</v>
      </c>
      <c r="I673" t="s">
        <v>7</v>
      </c>
      <c r="J673">
        <v>0</v>
      </c>
      <c r="K673" t="s">
        <v>24</v>
      </c>
      <c r="L673" t="s">
        <v>35</v>
      </c>
      <c r="M673" t="s">
        <v>49</v>
      </c>
      <c r="N673" t="s">
        <v>17</v>
      </c>
    </row>
    <row r="674" spans="1:14">
      <c r="A674">
        <v>21260</v>
      </c>
      <c r="B674" t="s">
        <v>42</v>
      </c>
      <c r="C674" t="s">
        <v>43</v>
      </c>
      <c r="D674" s="3">
        <v>40000</v>
      </c>
      <c r="E674" s="3" t="s">
        <v>45</v>
      </c>
      <c r="F674">
        <v>0</v>
      </c>
      <c r="G674" t="s">
        <v>30</v>
      </c>
      <c r="H674" t="s">
        <v>16</v>
      </c>
      <c r="I674" t="s">
        <v>7</v>
      </c>
      <c r="J674">
        <v>2</v>
      </c>
      <c r="K674" t="s">
        <v>26</v>
      </c>
      <c r="L674" t="s">
        <v>35</v>
      </c>
      <c r="M674" t="s">
        <v>52</v>
      </c>
      <c r="N674" t="s">
        <v>20</v>
      </c>
    </row>
    <row r="675" spans="1:14">
      <c r="A675">
        <v>11817</v>
      </c>
      <c r="B675" t="s">
        <v>42</v>
      </c>
      <c r="C675" t="s">
        <v>43</v>
      </c>
      <c r="D675" s="3">
        <v>70000</v>
      </c>
      <c r="E675" s="3" t="s">
        <v>46</v>
      </c>
      <c r="F675">
        <v>4</v>
      </c>
      <c r="G675" t="s">
        <v>34</v>
      </c>
      <c r="H675" t="s">
        <v>23</v>
      </c>
      <c r="I675" t="s">
        <v>7</v>
      </c>
      <c r="J675">
        <v>0</v>
      </c>
      <c r="K675" t="s">
        <v>24</v>
      </c>
      <c r="L675" t="s">
        <v>35</v>
      </c>
      <c r="M675" t="s">
        <v>49</v>
      </c>
      <c r="N675" t="s">
        <v>17</v>
      </c>
    </row>
    <row r="676" spans="1:14">
      <c r="A676">
        <v>19223</v>
      </c>
      <c r="B676" t="s">
        <v>41</v>
      </c>
      <c r="C676" t="s">
        <v>43</v>
      </c>
      <c r="D676" s="3">
        <v>30000</v>
      </c>
      <c r="E676" s="3" t="s">
        <v>45</v>
      </c>
      <c r="F676">
        <v>2</v>
      </c>
      <c r="G676" t="s">
        <v>30</v>
      </c>
      <c r="H676" t="s">
        <v>16</v>
      </c>
      <c r="I676" t="s">
        <v>7</v>
      </c>
      <c r="J676">
        <v>2</v>
      </c>
      <c r="K676" t="s">
        <v>29</v>
      </c>
      <c r="L676" t="s">
        <v>35</v>
      </c>
      <c r="M676" t="s">
        <v>51</v>
      </c>
      <c r="N676" t="s">
        <v>20</v>
      </c>
    </row>
    <row r="677" spans="1:14">
      <c r="A677">
        <v>18517</v>
      </c>
      <c r="B677" t="s">
        <v>41</v>
      </c>
      <c r="C677" t="s">
        <v>44</v>
      </c>
      <c r="D677" s="3">
        <v>100000</v>
      </c>
      <c r="E677" s="3" t="s">
        <v>46</v>
      </c>
      <c r="F677">
        <v>3</v>
      </c>
      <c r="G677" t="s">
        <v>15</v>
      </c>
      <c r="H677" t="s">
        <v>31</v>
      </c>
      <c r="I677" t="s">
        <v>7</v>
      </c>
      <c r="J677">
        <v>4</v>
      </c>
      <c r="K677" t="s">
        <v>18</v>
      </c>
      <c r="L677" t="s">
        <v>35</v>
      </c>
      <c r="M677" t="s">
        <v>49</v>
      </c>
      <c r="N677" t="s">
        <v>20</v>
      </c>
    </row>
    <row r="678" spans="1:14">
      <c r="A678">
        <v>21717</v>
      </c>
      <c r="B678" t="s">
        <v>41</v>
      </c>
      <c r="C678" t="s">
        <v>44</v>
      </c>
      <c r="D678" s="3">
        <v>40000</v>
      </c>
      <c r="E678" s="3" t="s">
        <v>45</v>
      </c>
      <c r="F678">
        <v>2</v>
      </c>
      <c r="G678" t="s">
        <v>21</v>
      </c>
      <c r="H678" t="s">
        <v>22</v>
      </c>
      <c r="I678" t="s">
        <v>7</v>
      </c>
      <c r="J678">
        <v>1</v>
      </c>
      <c r="K678" t="s">
        <v>18</v>
      </c>
      <c r="L678" t="s">
        <v>35</v>
      </c>
      <c r="M678" t="s">
        <v>51</v>
      </c>
      <c r="N678" t="s">
        <v>20</v>
      </c>
    </row>
    <row r="679" spans="1:14">
      <c r="A679">
        <v>13760</v>
      </c>
      <c r="B679" t="s">
        <v>41</v>
      </c>
      <c r="C679" t="s">
        <v>44</v>
      </c>
      <c r="D679" s="3">
        <v>60000</v>
      </c>
      <c r="E679" s="3" t="s">
        <v>46</v>
      </c>
      <c r="F679">
        <v>4</v>
      </c>
      <c r="G679" t="s">
        <v>34</v>
      </c>
      <c r="H679" t="s">
        <v>16</v>
      </c>
      <c r="I679" t="s">
        <v>48</v>
      </c>
      <c r="J679">
        <v>0</v>
      </c>
      <c r="K679" t="s">
        <v>18</v>
      </c>
      <c r="L679" t="s">
        <v>35</v>
      </c>
      <c r="M679" t="s">
        <v>51</v>
      </c>
      <c r="N679" t="s">
        <v>20</v>
      </c>
    </row>
    <row r="680" spans="1:14">
      <c r="A680">
        <v>18145</v>
      </c>
      <c r="B680" t="s">
        <v>41</v>
      </c>
      <c r="C680" t="s">
        <v>44</v>
      </c>
      <c r="D680" s="3">
        <v>80000</v>
      </c>
      <c r="E680" s="3" t="s">
        <v>46</v>
      </c>
      <c r="F680">
        <v>5</v>
      </c>
      <c r="G680" t="s">
        <v>15</v>
      </c>
      <c r="H680" t="s">
        <v>31</v>
      </c>
      <c r="I680" t="s">
        <v>48</v>
      </c>
      <c r="J680">
        <v>2</v>
      </c>
      <c r="K680" t="s">
        <v>24</v>
      </c>
      <c r="L680" t="s">
        <v>19</v>
      </c>
      <c r="M680" t="s">
        <v>50</v>
      </c>
      <c r="N680" t="s">
        <v>20</v>
      </c>
    </row>
    <row r="681" spans="1:14">
      <c r="A681">
        <v>21770</v>
      </c>
      <c r="B681" t="s">
        <v>41</v>
      </c>
      <c r="C681" t="s">
        <v>44</v>
      </c>
      <c r="D681" s="3">
        <v>60000</v>
      </c>
      <c r="E681" s="3" t="s">
        <v>46</v>
      </c>
      <c r="F681">
        <v>4</v>
      </c>
      <c r="G681" t="s">
        <v>15</v>
      </c>
      <c r="H681" t="s">
        <v>31</v>
      </c>
      <c r="I681" t="s">
        <v>7</v>
      </c>
      <c r="J681">
        <v>2</v>
      </c>
      <c r="K681" t="s">
        <v>33</v>
      </c>
      <c r="L681" t="s">
        <v>35</v>
      </c>
      <c r="M681" t="s">
        <v>50</v>
      </c>
      <c r="N681" t="s">
        <v>20</v>
      </c>
    </row>
    <row r="682" spans="1:14">
      <c r="A682">
        <v>11165</v>
      </c>
      <c r="B682" t="s">
        <v>41</v>
      </c>
      <c r="C682" t="s">
        <v>43</v>
      </c>
      <c r="D682" s="3">
        <v>60000</v>
      </c>
      <c r="E682" s="3" t="s">
        <v>46</v>
      </c>
      <c r="F682">
        <v>0</v>
      </c>
      <c r="G682" t="s">
        <v>21</v>
      </c>
      <c r="H682" t="s">
        <v>16</v>
      </c>
      <c r="I682" t="s">
        <v>48</v>
      </c>
      <c r="J682">
        <v>1</v>
      </c>
      <c r="K682" t="s">
        <v>29</v>
      </c>
      <c r="L682" t="s">
        <v>35</v>
      </c>
      <c r="M682" t="s">
        <v>52</v>
      </c>
      <c r="N682" t="s">
        <v>20</v>
      </c>
    </row>
    <row r="683" spans="1:14">
      <c r="A683">
        <v>16377</v>
      </c>
      <c r="B683" t="s">
        <v>42</v>
      </c>
      <c r="C683" t="s">
        <v>43</v>
      </c>
      <c r="D683" s="3">
        <v>80000</v>
      </c>
      <c r="E683" s="3" t="s">
        <v>46</v>
      </c>
      <c r="F683">
        <v>4</v>
      </c>
      <c r="G683" t="s">
        <v>34</v>
      </c>
      <c r="H683" t="s">
        <v>16</v>
      </c>
      <c r="I683" t="s">
        <v>48</v>
      </c>
      <c r="J683">
        <v>0</v>
      </c>
      <c r="K683" t="s">
        <v>18</v>
      </c>
      <c r="L683" t="s">
        <v>35</v>
      </c>
      <c r="M683" t="s">
        <v>51</v>
      </c>
      <c r="N683" t="s">
        <v>20</v>
      </c>
    </row>
    <row r="684" spans="1:14">
      <c r="A684">
        <v>26248</v>
      </c>
      <c r="B684" t="s">
        <v>41</v>
      </c>
      <c r="C684" t="s">
        <v>44</v>
      </c>
      <c r="D684" s="3">
        <v>20000</v>
      </c>
      <c r="E684" s="3" t="s">
        <v>45</v>
      </c>
      <c r="F684">
        <v>3</v>
      </c>
      <c r="G684" t="s">
        <v>32</v>
      </c>
      <c r="H684" t="s">
        <v>22</v>
      </c>
      <c r="I684" t="s">
        <v>48</v>
      </c>
      <c r="J684">
        <v>2</v>
      </c>
      <c r="K684" t="s">
        <v>18</v>
      </c>
      <c r="L684" t="s">
        <v>35</v>
      </c>
      <c r="M684" t="s">
        <v>51</v>
      </c>
      <c r="N684" t="s">
        <v>20</v>
      </c>
    </row>
    <row r="685" spans="1:14">
      <c r="A685">
        <v>23461</v>
      </c>
      <c r="B685" t="s">
        <v>41</v>
      </c>
      <c r="C685" t="s">
        <v>43</v>
      </c>
      <c r="D685" s="3">
        <v>90000</v>
      </c>
      <c r="E685" s="3" t="s">
        <v>46</v>
      </c>
      <c r="F685">
        <v>5</v>
      </c>
      <c r="G685" t="s">
        <v>21</v>
      </c>
      <c r="H685" t="s">
        <v>23</v>
      </c>
      <c r="I685" t="s">
        <v>7</v>
      </c>
      <c r="J685">
        <v>3</v>
      </c>
      <c r="K685" t="s">
        <v>24</v>
      </c>
      <c r="L685" t="s">
        <v>35</v>
      </c>
      <c r="M685" t="s">
        <v>49</v>
      </c>
      <c r="N685" t="s">
        <v>20</v>
      </c>
    </row>
    <row r="686" spans="1:14">
      <c r="A686">
        <v>29133</v>
      </c>
      <c r="B686" t="s">
        <v>42</v>
      </c>
      <c r="C686" t="s">
        <v>43</v>
      </c>
      <c r="D686" s="3">
        <v>60000</v>
      </c>
      <c r="E686" s="3" t="s">
        <v>46</v>
      </c>
      <c r="F686">
        <v>4</v>
      </c>
      <c r="G686" t="s">
        <v>15</v>
      </c>
      <c r="H686" t="s">
        <v>16</v>
      </c>
      <c r="I686" t="s">
        <v>48</v>
      </c>
      <c r="J686">
        <v>2</v>
      </c>
      <c r="K686" t="s">
        <v>18</v>
      </c>
      <c r="L686" t="s">
        <v>35</v>
      </c>
      <c r="M686" t="s">
        <v>49</v>
      </c>
      <c r="N686" t="s">
        <v>20</v>
      </c>
    </row>
    <row r="687" spans="1:14">
      <c r="A687">
        <v>27673</v>
      </c>
      <c r="B687" t="s">
        <v>42</v>
      </c>
      <c r="C687" t="s">
        <v>43</v>
      </c>
      <c r="D687" s="3">
        <v>60000</v>
      </c>
      <c r="E687" s="3" t="s">
        <v>46</v>
      </c>
      <c r="F687">
        <v>3</v>
      </c>
      <c r="G687" t="s">
        <v>34</v>
      </c>
      <c r="H687" t="s">
        <v>31</v>
      </c>
      <c r="I687" t="s">
        <v>7</v>
      </c>
      <c r="J687">
        <v>2</v>
      </c>
      <c r="K687" t="s">
        <v>26</v>
      </c>
      <c r="L687" t="s">
        <v>35</v>
      </c>
      <c r="M687" t="s">
        <v>51</v>
      </c>
      <c r="N687" t="s">
        <v>17</v>
      </c>
    </row>
    <row r="688" spans="1:14">
      <c r="A688">
        <v>12774</v>
      </c>
      <c r="B688" t="s">
        <v>41</v>
      </c>
      <c r="C688" t="s">
        <v>43</v>
      </c>
      <c r="D688" s="3">
        <v>40000</v>
      </c>
      <c r="E688" s="3" t="s">
        <v>45</v>
      </c>
      <c r="F688">
        <v>1</v>
      </c>
      <c r="G688" t="s">
        <v>21</v>
      </c>
      <c r="H688" t="s">
        <v>22</v>
      </c>
      <c r="I688" t="s">
        <v>7</v>
      </c>
      <c r="J688">
        <v>1</v>
      </c>
      <c r="K688" t="s">
        <v>29</v>
      </c>
      <c r="L688" t="s">
        <v>35</v>
      </c>
      <c r="M688" t="s">
        <v>51</v>
      </c>
      <c r="N688" t="s">
        <v>17</v>
      </c>
    </row>
    <row r="689" spans="1:14">
      <c r="A689">
        <v>18910</v>
      </c>
      <c r="B689" t="s">
        <v>42</v>
      </c>
      <c r="C689" t="s">
        <v>44</v>
      </c>
      <c r="D689" s="3">
        <v>30000</v>
      </c>
      <c r="E689" s="3" t="s">
        <v>45</v>
      </c>
      <c r="F689">
        <v>0</v>
      </c>
      <c r="G689" t="s">
        <v>21</v>
      </c>
      <c r="H689" t="s">
        <v>16</v>
      </c>
      <c r="I689" t="s">
        <v>7</v>
      </c>
      <c r="J689">
        <v>2</v>
      </c>
      <c r="K689" t="s">
        <v>26</v>
      </c>
      <c r="L689" t="s">
        <v>35</v>
      </c>
      <c r="M689" t="s">
        <v>52</v>
      </c>
      <c r="N689" t="s">
        <v>20</v>
      </c>
    </row>
    <row r="690" spans="1:14">
      <c r="A690">
        <v>11699</v>
      </c>
      <c r="B690" t="s">
        <v>42</v>
      </c>
      <c r="C690" t="s">
        <v>44</v>
      </c>
      <c r="D690" s="3">
        <v>60000</v>
      </c>
      <c r="E690" s="3" t="s">
        <v>46</v>
      </c>
      <c r="F690">
        <v>0</v>
      </c>
      <c r="G690" t="s">
        <v>15</v>
      </c>
      <c r="H690" t="s">
        <v>16</v>
      </c>
      <c r="I690" t="s">
        <v>48</v>
      </c>
      <c r="J690">
        <v>2</v>
      </c>
      <c r="K690" t="s">
        <v>18</v>
      </c>
      <c r="L690" t="s">
        <v>35</v>
      </c>
      <c r="M690" t="s">
        <v>52</v>
      </c>
      <c r="N690" t="s">
        <v>20</v>
      </c>
    </row>
    <row r="691" spans="1:14">
      <c r="A691">
        <v>16725</v>
      </c>
      <c r="B691" t="s">
        <v>41</v>
      </c>
      <c r="C691" t="s">
        <v>44</v>
      </c>
      <c r="D691" s="3">
        <v>30000</v>
      </c>
      <c r="E691" s="3" t="s">
        <v>45</v>
      </c>
      <c r="F691">
        <v>0</v>
      </c>
      <c r="G691" t="s">
        <v>30</v>
      </c>
      <c r="H691" t="s">
        <v>16</v>
      </c>
      <c r="I691" t="s">
        <v>7</v>
      </c>
      <c r="J691">
        <v>2</v>
      </c>
      <c r="K691" t="s">
        <v>26</v>
      </c>
      <c r="L691" t="s">
        <v>35</v>
      </c>
      <c r="M691" t="s">
        <v>52</v>
      </c>
      <c r="N691" t="s">
        <v>20</v>
      </c>
    </row>
    <row r="692" spans="1:14">
      <c r="A692">
        <v>28269</v>
      </c>
      <c r="B692" t="s">
        <v>42</v>
      </c>
      <c r="C692" t="s">
        <v>43</v>
      </c>
      <c r="D692" s="3">
        <v>130000</v>
      </c>
      <c r="E692" s="3" t="s">
        <v>47</v>
      </c>
      <c r="F692">
        <v>1</v>
      </c>
      <c r="G692" t="s">
        <v>15</v>
      </c>
      <c r="H692" t="s">
        <v>31</v>
      </c>
      <c r="I692" t="s">
        <v>48</v>
      </c>
      <c r="J692">
        <v>1</v>
      </c>
      <c r="K692" t="s">
        <v>24</v>
      </c>
      <c r="L692" t="s">
        <v>35</v>
      </c>
      <c r="M692" t="s">
        <v>51</v>
      </c>
      <c r="N692" t="s">
        <v>20</v>
      </c>
    </row>
    <row r="693" spans="1:14">
      <c r="A693">
        <v>23144</v>
      </c>
      <c r="B693" t="s">
        <v>41</v>
      </c>
      <c r="C693" t="s">
        <v>44</v>
      </c>
      <c r="D693" s="3">
        <v>50000</v>
      </c>
      <c r="E693" s="3" t="s">
        <v>45</v>
      </c>
      <c r="F693">
        <v>1</v>
      </c>
      <c r="G693" t="s">
        <v>15</v>
      </c>
      <c r="H693" t="s">
        <v>16</v>
      </c>
      <c r="I693" t="s">
        <v>7</v>
      </c>
      <c r="J693">
        <v>0</v>
      </c>
      <c r="K693" t="s">
        <v>18</v>
      </c>
      <c r="L693" t="s">
        <v>35</v>
      </c>
      <c r="M693" t="s">
        <v>52</v>
      </c>
      <c r="N693" t="s">
        <v>17</v>
      </c>
    </row>
    <row r="694" spans="1:14">
      <c r="A694">
        <v>23376</v>
      </c>
      <c r="B694" t="s">
        <v>41</v>
      </c>
      <c r="C694" t="s">
        <v>44</v>
      </c>
      <c r="D694" s="3">
        <v>70000</v>
      </c>
      <c r="E694" s="3" t="s">
        <v>46</v>
      </c>
      <c r="F694">
        <v>1</v>
      </c>
      <c r="G694" t="s">
        <v>15</v>
      </c>
      <c r="H694" t="s">
        <v>23</v>
      </c>
      <c r="I694" t="s">
        <v>7</v>
      </c>
      <c r="J694">
        <v>1</v>
      </c>
      <c r="K694" t="s">
        <v>24</v>
      </c>
      <c r="L694" t="s">
        <v>35</v>
      </c>
      <c r="M694" t="s">
        <v>49</v>
      </c>
      <c r="N694" t="s">
        <v>17</v>
      </c>
    </row>
    <row r="695" spans="1:14">
      <c r="A695">
        <v>25970</v>
      </c>
      <c r="B695" t="s">
        <v>42</v>
      </c>
      <c r="C695" t="s">
        <v>43</v>
      </c>
      <c r="D695" s="3">
        <v>60000</v>
      </c>
      <c r="E695" s="3" t="s">
        <v>46</v>
      </c>
      <c r="F695">
        <v>4</v>
      </c>
      <c r="G695" t="s">
        <v>15</v>
      </c>
      <c r="H695" t="s">
        <v>16</v>
      </c>
      <c r="I695" t="s">
        <v>48</v>
      </c>
      <c r="J695">
        <v>2</v>
      </c>
      <c r="K695" t="s">
        <v>18</v>
      </c>
      <c r="L695" t="s">
        <v>35</v>
      </c>
      <c r="M695" t="s">
        <v>49</v>
      </c>
      <c r="N695" t="s">
        <v>17</v>
      </c>
    </row>
    <row r="696" spans="1:14">
      <c r="A696">
        <v>28068</v>
      </c>
      <c r="B696" t="s">
        <v>42</v>
      </c>
      <c r="C696" t="s">
        <v>43</v>
      </c>
      <c r="D696" s="3">
        <v>80000</v>
      </c>
      <c r="E696" s="3" t="s">
        <v>46</v>
      </c>
      <c r="F696">
        <v>3</v>
      </c>
      <c r="G696" t="s">
        <v>34</v>
      </c>
      <c r="H696" t="s">
        <v>23</v>
      </c>
      <c r="I696" t="s">
        <v>48</v>
      </c>
      <c r="J696">
        <v>0</v>
      </c>
      <c r="K696" t="s">
        <v>18</v>
      </c>
      <c r="L696" t="s">
        <v>35</v>
      </c>
      <c r="M696" t="s">
        <v>49</v>
      </c>
      <c r="N696" t="s">
        <v>17</v>
      </c>
    </row>
    <row r="697" spans="1:14">
      <c r="A697">
        <v>18390</v>
      </c>
      <c r="B697" t="s">
        <v>41</v>
      </c>
      <c r="C697" t="s">
        <v>44</v>
      </c>
      <c r="D697" s="3">
        <v>80000</v>
      </c>
      <c r="E697" s="3" t="s">
        <v>46</v>
      </c>
      <c r="F697">
        <v>5</v>
      </c>
      <c r="G697" t="s">
        <v>21</v>
      </c>
      <c r="H697" t="s">
        <v>23</v>
      </c>
      <c r="I697" t="s">
        <v>7</v>
      </c>
      <c r="J697">
        <v>2</v>
      </c>
      <c r="K697" t="s">
        <v>18</v>
      </c>
      <c r="L697" t="s">
        <v>35</v>
      </c>
      <c r="M697" t="s">
        <v>49</v>
      </c>
      <c r="N697" t="s">
        <v>20</v>
      </c>
    </row>
    <row r="698" spans="1:14">
      <c r="A698">
        <v>29112</v>
      </c>
      <c r="B698" t="s">
        <v>42</v>
      </c>
      <c r="C698" t="s">
        <v>44</v>
      </c>
      <c r="D698" s="3">
        <v>60000</v>
      </c>
      <c r="E698" s="3" t="s">
        <v>46</v>
      </c>
      <c r="F698">
        <v>0</v>
      </c>
      <c r="G698" t="s">
        <v>21</v>
      </c>
      <c r="H698" t="s">
        <v>23</v>
      </c>
      <c r="I698" t="s">
        <v>48</v>
      </c>
      <c r="J698">
        <v>2</v>
      </c>
      <c r="K698" t="s">
        <v>29</v>
      </c>
      <c r="L698" t="s">
        <v>35</v>
      </c>
      <c r="M698" t="s">
        <v>52</v>
      </c>
      <c r="N698" t="s">
        <v>20</v>
      </c>
    </row>
    <row r="699" spans="1:14">
      <c r="A699">
        <v>14090</v>
      </c>
      <c r="B699" t="s">
        <v>41</v>
      </c>
      <c r="C699" t="s">
        <v>43</v>
      </c>
      <c r="D699" s="3">
        <v>30000</v>
      </c>
      <c r="E699" s="3" t="s">
        <v>45</v>
      </c>
      <c r="F699">
        <v>0</v>
      </c>
      <c r="G699" t="s">
        <v>32</v>
      </c>
      <c r="H699" t="s">
        <v>22</v>
      </c>
      <c r="I699" t="s">
        <v>48</v>
      </c>
      <c r="J699">
        <v>2</v>
      </c>
      <c r="K699" t="s">
        <v>18</v>
      </c>
      <c r="L699" t="s">
        <v>35</v>
      </c>
      <c r="M699" t="s">
        <v>52</v>
      </c>
      <c r="N699" t="s">
        <v>20</v>
      </c>
    </row>
    <row r="700" spans="1:14">
      <c r="A700">
        <v>27040</v>
      </c>
      <c r="B700" t="s">
        <v>41</v>
      </c>
      <c r="C700" t="s">
        <v>44</v>
      </c>
      <c r="D700" s="3">
        <v>20000</v>
      </c>
      <c r="E700" s="3" t="s">
        <v>45</v>
      </c>
      <c r="F700">
        <v>2</v>
      </c>
      <c r="G700" t="s">
        <v>32</v>
      </c>
      <c r="H700" t="s">
        <v>22</v>
      </c>
      <c r="I700" t="s">
        <v>7</v>
      </c>
      <c r="J700">
        <v>2</v>
      </c>
      <c r="K700" t="s">
        <v>29</v>
      </c>
      <c r="L700" t="s">
        <v>35</v>
      </c>
      <c r="M700" t="s">
        <v>51</v>
      </c>
      <c r="N700" t="s">
        <v>20</v>
      </c>
    </row>
    <row r="701" spans="1:14">
      <c r="A701">
        <v>23479</v>
      </c>
      <c r="B701" t="s">
        <v>42</v>
      </c>
      <c r="C701" t="s">
        <v>44</v>
      </c>
      <c r="D701" s="3">
        <v>90000</v>
      </c>
      <c r="E701" s="3" t="s">
        <v>46</v>
      </c>
      <c r="F701">
        <v>0</v>
      </c>
      <c r="G701" t="s">
        <v>21</v>
      </c>
      <c r="H701" t="s">
        <v>23</v>
      </c>
      <c r="I701" t="s">
        <v>48</v>
      </c>
      <c r="J701">
        <v>2</v>
      </c>
      <c r="K701" t="s">
        <v>18</v>
      </c>
      <c r="L701" t="s">
        <v>35</v>
      </c>
      <c r="M701" t="s">
        <v>49</v>
      </c>
      <c r="N701" t="s">
        <v>17</v>
      </c>
    </row>
    <row r="702" spans="1:14">
      <c r="A702">
        <v>16795</v>
      </c>
      <c r="B702" t="s">
        <v>41</v>
      </c>
      <c r="C702" t="s">
        <v>43</v>
      </c>
      <c r="D702" s="3">
        <v>70000</v>
      </c>
      <c r="E702" s="3" t="s">
        <v>46</v>
      </c>
      <c r="F702">
        <v>4</v>
      </c>
      <c r="G702" t="s">
        <v>15</v>
      </c>
      <c r="H702" t="s">
        <v>31</v>
      </c>
      <c r="I702" t="s">
        <v>7</v>
      </c>
      <c r="J702">
        <v>1</v>
      </c>
      <c r="K702" t="s">
        <v>29</v>
      </c>
      <c r="L702" t="s">
        <v>35</v>
      </c>
      <c r="M702" t="s">
        <v>50</v>
      </c>
      <c r="N702" t="s">
        <v>20</v>
      </c>
    </row>
    <row r="703" spans="1:14">
      <c r="A703">
        <v>22014</v>
      </c>
      <c r="B703" t="s">
        <v>42</v>
      </c>
      <c r="C703" t="s">
        <v>44</v>
      </c>
      <c r="D703" s="3">
        <v>30000</v>
      </c>
      <c r="E703" s="3" t="s">
        <v>45</v>
      </c>
      <c r="F703">
        <v>0</v>
      </c>
      <c r="G703" t="s">
        <v>30</v>
      </c>
      <c r="H703" t="s">
        <v>16</v>
      </c>
      <c r="I703" t="s">
        <v>7</v>
      </c>
      <c r="J703">
        <v>2</v>
      </c>
      <c r="K703" t="s">
        <v>26</v>
      </c>
      <c r="L703" t="s">
        <v>35</v>
      </c>
      <c r="M703" t="s">
        <v>52</v>
      </c>
      <c r="N703" t="s">
        <v>20</v>
      </c>
    </row>
    <row r="704" spans="1:14">
      <c r="A704">
        <v>13314</v>
      </c>
      <c r="B704" t="s">
        <v>41</v>
      </c>
      <c r="C704" t="s">
        <v>44</v>
      </c>
      <c r="D704" s="3">
        <v>120000</v>
      </c>
      <c r="E704" s="3" t="s">
        <v>47</v>
      </c>
      <c r="F704">
        <v>1</v>
      </c>
      <c r="G704" t="s">
        <v>30</v>
      </c>
      <c r="H704" t="s">
        <v>23</v>
      </c>
      <c r="I704" t="s">
        <v>7</v>
      </c>
      <c r="J704">
        <v>4</v>
      </c>
      <c r="K704" t="s">
        <v>26</v>
      </c>
      <c r="L704" t="s">
        <v>35</v>
      </c>
      <c r="M704" t="s">
        <v>51</v>
      </c>
      <c r="N704" t="s">
        <v>17</v>
      </c>
    </row>
    <row r="705" spans="1:14">
      <c r="A705">
        <v>11619</v>
      </c>
      <c r="B705" t="s">
        <v>42</v>
      </c>
      <c r="C705" t="s">
        <v>43</v>
      </c>
      <c r="D705" s="3">
        <v>50000</v>
      </c>
      <c r="E705" s="3" t="s">
        <v>45</v>
      </c>
      <c r="F705">
        <v>0</v>
      </c>
      <c r="G705" t="s">
        <v>34</v>
      </c>
      <c r="H705" t="s">
        <v>16</v>
      </c>
      <c r="I705" t="s">
        <v>7</v>
      </c>
      <c r="J705">
        <v>0</v>
      </c>
      <c r="K705" t="s">
        <v>29</v>
      </c>
      <c r="L705" t="s">
        <v>35</v>
      </c>
      <c r="M705" t="s">
        <v>52</v>
      </c>
      <c r="N705" t="s">
        <v>20</v>
      </c>
    </row>
    <row r="706" spans="1:14">
      <c r="A706">
        <v>29132</v>
      </c>
      <c r="B706" t="s">
        <v>42</v>
      </c>
      <c r="C706" t="s">
        <v>43</v>
      </c>
      <c r="D706" s="3">
        <v>40000</v>
      </c>
      <c r="E706" s="3" t="s">
        <v>45</v>
      </c>
      <c r="F706">
        <v>0</v>
      </c>
      <c r="G706" t="s">
        <v>15</v>
      </c>
      <c r="H706" t="s">
        <v>23</v>
      </c>
      <c r="I706" t="s">
        <v>7</v>
      </c>
      <c r="J706">
        <v>1</v>
      </c>
      <c r="K706" t="s">
        <v>24</v>
      </c>
      <c r="L706" t="s">
        <v>35</v>
      </c>
      <c r="M706" t="s">
        <v>49</v>
      </c>
      <c r="N706" t="s">
        <v>17</v>
      </c>
    </row>
    <row r="707" spans="1:14">
      <c r="A707">
        <v>11199</v>
      </c>
      <c r="B707" t="s">
        <v>41</v>
      </c>
      <c r="C707" t="s">
        <v>43</v>
      </c>
      <c r="D707" s="3">
        <v>70000</v>
      </c>
      <c r="E707" s="3" t="s">
        <v>46</v>
      </c>
      <c r="F707">
        <v>4</v>
      </c>
      <c r="G707" t="s">
        <v>15</v>
      </c>
      <c r="H707" t="s">
        <v>31</v>
      </c>
      <c r="I707" t="s">
        <v>7</v>
      </c>
      <c r="J707">
        <v>1</v>
      </c>
      <c r="K707" t="s">
        <v>33</v>
      </c>
      <c r="L707" t="s">
        <v>35</v>
      </c>
      <c r="M707" t="s">
        <v>50</v>
      </c>
      <c r="N707" t="s">
        <v>20</v>
      </c>
    </row>
    <row r="708" spans="1:14">
      <c r="A708">
        <v>20296</v>
      </c>
      <c r="B708" t="s">
        <v>42</v>
      </c>
      <c r="C708" t="s">
        <v>43</v>
      </c>
      <c r="D708" s="3">
        <v>60000</v>
      </c>
      <c r="E708" s="3" t="s">
        <v>46</v>
      </c>
      <c r="F708">
        <v>0</v>
      </c>
      <c r="G708" t="s">
        <v>21</v>
      </c>
      <c r="H708" t="s">
        <v>16</v>
      </c>
      <c r="I708" t="s">
        <v>48</v>
      </c>
      <c r="J708">
        <v>1</v>
      </c>
      <c r="K708" t="s">
        <v>29</v>
      </c>
      <c r="L708" t="s">
        <v>35</v>
      </c>
      <c r="M708" t="s">
        <v>52</v>
      </c>
      <c r="N708" t="s">
        <v>17</v>
      </c>
    </row>
    <row r="709" spans="1:14">
      <c r="A709">
        <v>17546</v>
      </c>
      <c r="B709" t="s">
        <v>41</v>
      </c>
      <c r="C709" t="s">
        <v>43</v>
      </c>
      <c r="D709" s="3">
        <v>70000</v>
      </c>
      <c r="E709" s="3" t="s">
        <v>46</v>
      </c>
      <c r="F709">
        <v>1</v>
      </c>
      <c r="G709" t="s">
        <v>21</v>
      </c>
      <c r="H709" t="s">
        <v>16</v>
      </c>
      <c r="I709" t="s">
        <v>7</v>
      </c>
      <c r="J709">
        <v>1</v>
      </c>
      <c r="K709" t="s">
        <v>18</v>
      </c>
      <c r="L709" t="s">
        <v>35</v>
      </c>
      <c r="M709" t="s">
        <v>49</v>
      </c>
      <c r="N709" t="s">
        <v>17</v>
      </c>
    </row>
    <row r="710" spans="1:14">
      <c r="A710">
        <v>18069</v>
      </c>
      <c r="B710" t="s">
        <v>41</v>
      </c>
      <c r="C710" t="s">
        <v>44</v>
      </c>
      <c r="D710" s="3">
        <v>70000</v>
      </c>
      <c r="E710" s="3" t="s">
        <v>46</v>
      </c>
      <c r="F710">
        <v>5</v>
      </c>
      <c r="G710" t="s">
        <v>15</v>
      </c>
      <c r="H710" t="s">
        <v>31</v>
      </c>
      <c r="I710" t="s">
        <v>7</v>
      </c>
      <c r="J710">
        <v>4</v>
      </c>
      <c r="K710" t="s">
        <v>33</v>
      </c>
      <c r="L710" t="s">
        <v>35</v>
      </c>
      <c r="M710" t="s">
        <v>50</v>
      </c>
      <c r="N710" t="s">
        <v>20</v>
      </c>
    </row>
    <row r="711" spans="1:14">
      <c r="A711">
        <v>23712</v>
      </c>
      <c r="B711" t="s">
        <v>42</v>
      </c>
      <c r="C711" t="s">
        <v>43</v>
      </c>
      <c r="D711" s="3">
        <v>70000</v>
      </c>
      <c r="E711" s="3" t="s">
        <v>46</v>
      </c>
      <c r="F711">
        <v>2</v>
      </c>
      <c r="G711" t="s">
        <v>15</v>
      </c>
      <c r="H711" t="s">
        <v>31</v>
      </c>
      <c r="I711" t="s">
        <v>7</v>
      </c>
      <c r="J711">
        <v>1</v>
      </c>
      <c r="K711" t="s">
        <v>33</v>
      </c>
      <c r="L711" t="s">
        <v>35</v>
      </c>
      <c r="M711" t="s">
        <v>50</v>
      </c>
      <c r="N711" t="s">
        <v>20</v>
      </c>
    </row>
    <row r="712" spans="1:14">
      <c r="A712">
        <v>23358</v>
      </c>
      <c r="B712" t="s">
        <v>41</v>
      </c>
      <c r="C712" t="s">
        <v>44</v>
      </c>
      <c r="D712" s="3">
        <v>60000</v>
      </c>
      <c r="E712" s="3" t="s">
        <v>46</v>
      </c>
      <c r="F712">
        <v>0</v>
      </c>
      <c r="G712" t="s">
        <v>30</v>
      </c>
      <c r="H712" t="s">
        <v>23</v>
      </c>
      <c r="I712" t="s">
        <v>7</v>
      </c>
      <c r="J712">
        <v>2</v>
      </c>
      <c r="K712" t="s">
        <v>26</v>
      </c>
      <c r="L712" t="s">
        <v>35</v>
      </c>
      <c r="M712" t="s">
        <v>52</v>
      </c>
      <c r="N712" t="s">
        <v>17</v>
      </c>
    </row>
    <row r="713" spans="1:14">
      <c r="A713">
        <v>20518</v>
      </c>
      <c r="B713" t="s">
        <v>41</v>
      </c>
      <c r="C713" t="s">
        <v>43</v>
      </c>
      <c r="D713" s="3">
        <v>70000</v>
      </c>
      <c r="E713" s="3" t="s">
        <v>46</v>
      </c>
      <c r="F713">
        <v>2</v>
      </c>
      <c r="G713" t="s">
        <v>21</v>
      </c>
      <c r="H713" t="s">
        <v>23</v>
      </c>
      <c r="I713" t="s">
        <v>7</v>
      </c>
      <c r="J713">
        <v>1</v>
      </c>
      <c r="K713" t="s">
        <v>33</v>
      </c>
      <c r="L713" t="s">
        <v>35</v>
      </c>
      <c r="M713" t="s">
        <v>50</v>
      </c>
      <c r="N713" t="s">
        <v>20</v>
      </c>
    </row>
    <row r="714" spans="1:14">
      <c r="A714">
        <v>28026</v>
      </c>
      <c r="B714" t="s">
        <v>41</v>
      </c>
      <c r="C714" t="s">
        <v>43</v>
      </c>
      <c r="D714" s="3">
        <v>40000</v>
      </c>
      <c r="E714" s="3" t="s">
        <v>45</v>
      </c>
      <c r="F714">
        <v>2</v>
      </c>
      <c r="G714" t="s">
        <v>30</v>
      </c>
      <c r="H714" t="s">
        <v>23</v>
      </c>
      <c r="I714" t="s">
        <v>48</v>
      </c>
      <c r="J714">
        <v>2</v>
      </c>
      <c r="K714" t="s">
        <v>24</v>
      </c>
      <c r="L714" t="s">
        <v>35</v>
      </c>
      <c r="M714" t="s">
        <v>50</v>
      </c>
      <c r="N714" t="s">
        <v>20</v>
      </c>
    </row>
    <row r="715" spans="1:14">
      <c r="A715">
        <v>11669</v>
      </c>
      <c r="B715" t="s">
        <v>42</v>
      </c>
      <c r="C715" t="s">
        <v>43</v>
      </c>
      <c r="D715" s="3">
        <v>70000</v>
      </c>
      <c r="E715" s="3" t="s">
        <v>46</v>
      </c>
      <c r="F715">
        <v>2</v>
      </c>
      <c r="G715" t="s">
        <v>15</v>
      </c>
      <c r="H715" t="s">
        <v>16</v>
      </c>
      <c r="I715" t="s">
        <v>7</v>
      </c>
      <c r="J715">
        <v>1</v>
      </c>
      <c r="K715" t="s">
        <v>24</v>
      </c>
      <c r="L715" t="s">
        <v>35</v>
      </c>
      <c r="M715" t="s">
        <v>49</v>
      </c>
      <c r="N715" t="s">
        <v>20</v>
      </c>
    </row>
    <row r="716" spans="1:14">
      <c r="A716">
        <v>16020</v>
      </c>
      <c r="B716" t="s">
        <v>41</v>
      </c>
      <c r="C716" t="s">
        <v>44</v>
      </c>
      <c r="D716" s="3">
        <v>40000</v>
      </c>
      <c r="E716" s="3" t="s">
        <v>45</v>
      </c>
      <c r="F716">
        <v>0</v>
      </c>
      <c r="G716" t="s">
        <v>30</v>
      </c>
      <c r="H716" t="s">
        <v>16</v>
      </c>
      <c r="I716" t="s">
        <v>7</v>
      </c>
      <c r="J716">
        <v>2</v>
      </c>
      <c r="K716" t="s">
        <v>26</v>
      </c>
      <c r="L716" t="s">
        <v>35</v>
      </c>
      <c r="M716" t="s">
        <v>52</v>
      </c>
      <c r="N716" t="s">
        <v>17</v>
      </c>
    </row>
    <row r="717" spans="1:14">
      <c r="A717">
        <v>27090</v>
      </c>
      <c r="B717" t="s">
        <v>41</v>
      </c>
      <c r="C717" t="s">
        <v>43</v>
      </c>
      <c r="D717" s="3">
        <v>60000</v>
      </c>
      <c r="E717" s="3" t="s">
        <v>46</v>
      </c>
      <c r="F717">
        <v>1</v>
      </c>
      <c r="G717" t="s">
        <v>34</v>
      </c>
      <c r="H717" t="s">
        <v>23</v>
      </c>
      <c r="I717" t="s">
        <v>7</v>
      </c>
      <c r="J717">
        <v>0</v>
      </c>
      <c r="K717" t="s">
        <v>24</v>
      </c>
      <c r="L717" t="s">
        <v>35</v>
      </c>
      <c r="M717" t="s">
        <v>49</v>
      </c>
      <c r="N717" t="s">
        <v>17</v>
      </c>
    </row>
    <row r="718" spans="1:14">
      <c r="A718">
        <v>27198</v>
      </c>
      <c r="B718" t="s">
        <v>42</v>
      </c>
      <c r="C718" t="s">
        <v>43</v>
      </c>
      <c r="D718" s="3">
        <v>80000</v>
      </c>
      <c r="E718" s="3" t="s">
        <v>46</v>
      </c>
      <c r="F718">
        <v>0</v>
      </c>
      <c r="G718" t="s">
        <v>34</v>
      </c>
      <c r="H718" t="s">
        <v>16</v>
      </c>
      <c r="I718" t="s">
        <v>48</v>
      </c>
      <c r="J718">
        <v>0</v>
      </c>
      <c r="K718" t="s">
        <v>18</v>
      </c>
      <c r="L718" t="s">
        <v>35</v>
      </c>
      <c r="M718" t="s">
        <v>49</v>
      </c>
      <c r="N718" t="s">
        <v>20</v>
      </c>
    </row>
    <row r="719" spans="1:14">
      <c r="A719">
        <v>19661</v>
      </c>
      <c r="B719" t="s">
        <v>42</v>
      </c>
      <c r="C719" t="s">
        <v>44</v>
      </c>
      <c r="D719" s="3">
        <v>90000</v>
      </c>
      <c r="E719" s="3" t="s">
        <v>46</v>
      </c>
      <c r="F719">
        <v>4</v>
      </c>
      <c r="G719" t="s">
        <v>15</v>
      </c>
      <c r="H719" t="s">
        <v>31</v>
      </c>
      <c r="I719" t="s">
        <v>7</v>
      </c>
      <c r="J719">
        <v>1</v>
      </c>
      <c r="K719" t="s">
        <v>29</v>
      </c>
      <c r="L719" t="s">
        <v>35</v>
      </c>
      <c r="M719" t="s">
        <v>49</v>
      </c>
      <c r="N719" t="s">
        <v>17</v>
      </c>
    </row>
    <row r="720" spans="1:14">
      <c r="A720">
        <v>26327</v>
      </c>
      <c r="B720" t="s">
        <v>41</v>
      </c>
      <c r="C720" t="s">
        <v>44</v>
      </c>
      <c r="D720" s="3">
        <v>70000</v>
      </c>
      <c r="E720" s="3" t="s">
        <v>46</v>
      </c>
      <c r="F720">
        <v>4</v>
      </c>
      <c r="G720" t="s">
        <v>34</v>
      </c>
      <c r="H720" t="s">
        <v>23</v>
      </c>
      <c r="I720" t="s">
        <v>7</v>
      </c>
      <c r="J720">
        <v>0</v>
      </c>
      <c r="K720" t="s">
        <v>24</v>
      </c>
      <c r="L720" t="s">
        <v>35</v>
      </c>
      <c r="M720" t="s">
        <v>49</v>
      </c>
      <c r="N720" t="s">
        <v>17</v>
      </c>
    </row>
    <row r="721" spans="1:14">
      <c r="A721">
        <v>26341</v>
      </c>
      <c r="B721" t="s">
        <v>41</v>
      </c>
      <c r="C721" t="s">
        <v>43</v>
      </c>
      <c r="D721" s="3">
        <v>70000</v>
      </c>
      <c r="E721" s="3" t="s">
        <v>46</v>
      </c>
      <c r="F721">
        <v>5</v>
      </c>
      <c r="G721" t="s">
        <v>34</v>
      </c>
      <c r="H721" t="s">
        <v>23</v>
      </c>
      <c r="I721" t="s">
        <v>7</v>
      </c>
      <c r="J721">
        <v>2</v>
      </c>
      <c r="K721" t="s">
        <v>18</v>
      </c>
      <c r="L721" t="s">
        <v>35</v>
      </c>
      <c r="M721" t="s">
        <v>49</v>
      </c>
      <c r="N721" t="s">
        <v>20</v>
      </c>
    </row>
    <row r="722" spans="1:14">
      <c r="A722">
        <v>24958</v>
      </c>
      <c r="B722" t="s">
        <v>42</v>
      </c>
      <c r="C722" t="s">
        <v>43</v>
      </c>
      <c r="D722" s="3">
        <v>40000</v>
      </c>
      <c r="E722" s="3" t="s">
        <v>45</v>
      </c>
      <c r="F722">
        <v>5</v>
      </c>
      <c r="G722" t="s">
        <v>30</v>
      </c>
      <c r="H722" t="s">
        <v>23</v>
      </c>
      <c r="I722" t="s">
        <v>48</v>
      </c>
      <c r="J722">
        <v>3</v>
      </c>
      <c r="K722" t="s">
        <v>24</v>
      </c>
      <c r="L722" t="s">
        <v>35</v>
      </c>
      <c r="M722" t="s">
        <v>50</v>
      </c>
      <c r="N722" t="s">
        <v>17</v>
      </c>
    </row>
    <row r="723" spans="1:14">
      <c r="A723">
        <v>13287</v>
      </c>
      <c r="B723" t="s">
        <v>42</v>
      </c>
      <c r="C723" t="s">
        <v>44</v>
      </c>
      <c r="D723" s="3">
        <v>110000</v>
      </c>
      <c r="E723" s="3" t="s">
        <v>46</v>
      </c>
      <c r="F723">
        <v>4</v>
      </c>
      <c r="G723" t="s">
        <v>15</v>
      </c>
      <c r="H723" t="s">
        <v>31</v>
      </c>
      <c r="I723" t="s">
        <v>7</v>
      </c>
      <c r="J723">
        <v>4</v>
      </c>
      <c r="K723" t="s">
        <v>26</v>
      </c>
      <c r="L723" t="s">
        <v>35</v>
      </c>
      <c r="M723" t="s">
        <v>49</v>
      </c>
      <c r="N723" t="s">
        <v>17</v>
      </c>
    </row>
    <row r="724" spans="1:14">
      <c r="A724">
        <v>14493</v>
      </c>
      <c r="B724" t="s">
        <v>42</v>
      </c>
      <c r="C724" t="s">
        <v>43</v>
      </c>
      <c r="D724" s="3">
        <v>70000</v>
      </c>
      <c r="E724" s="3" t="s">
        <v>46</v>
      </c>
      <c r="F724">
        <v>3</v>
      </c>
      <c r="G724" t="s">
        <v>34</v>
      </c>
      <c r="H724" t="s">
        <v>31</v>
      </c>
      <c r="I724" t="s">
        <v>48</v>
      </c>
      <c r="J724">
        <v>2</v>
      </c>
      <c r="K724" t="s">
        <v>29</v>
      </c>
      <c r="L724" t="s">
        <v>35</v>
      </c>
      <c r="M724" t="s">
        <v>51</v>
      </c>
      <c r="N724" t="s">
        <v>20</v>
      </c>
    </row>
    <row r="725" spans="1:14">
      <c r="A725">
        <v>26678</v>
      </c>
      <c r="B725" t="s">
        <v>42</v>
      </c>
      <c r="C725" t="s">
        <v>43</v>
      </c>
      <c r="D725" s="3">
        <v>80000</v>
      </c>
      <c r="E725" s="3" t="s">
        <v>46</v>
      </c>
      <c r="F725">
        <v>2</v>
      </c>
      <c r="G725" t="s">
        <v>32</v>
      </c>
      <c r="H725" t="s">
        <v>16</v>
      </c>
      <c r="I725" t="s">
        <v>7</v>
      </c>
      <c r="J725">
        <v>2</v>
      </c>
      <c r="K725" t="s">
        <v>26</v>
      </c>
      <c r="L725" t="s">
        <v>35</v>
      </c>
      <c r="M725" t="s">
        <v>51</v>
      </c>
      <c r="N725" t="s">
        <v>20</v>
      </c>
    </row>
    <row r="726" spans="1:14">
      <c r="A726">
        <v>23275</v>
      </c>
      <c r="B726" t="s">
        <v>41</v>
      </c>
      <c r="C726" t="s">
        <v>44</v>
      </c>
      <c r="D726" s="3">
        <v>30000</v>
      </c>
      <c r="E726" s="3" t="s">
        <v>45</v>
      </c>
      <c r="F726">
        <v>2</v>
      </c>
      <c r="G726" t="s">
        <v>30</v>
      </c>
      <c r="H726" t="s">
        <v>16</v>
      </c>
      <c r="I726" t="s">
        <v>7</v>
      </c>
      <c r="J726">
        <v>2</v>
      </c>
      <c r="K726" t="s">
        <v>29</v>
      </c>
      <c r="L726" t="s">
        <v>35</v>
      </c>
      <c r="M726" t="s">
        <v>51</v>
      </c>
      <c r="N726" t="s">
        <v>20</v>
      </c>
    </row>
    <row r="727" spans="1:14">
      <c r="A727">
        <v>11270</v>
      </c>
      <c r="B727" t="s">
        <v>41</v>
      </c>
      <c r="C727" t="s">
        <v>44</v>
      </c>
      <c r="D727" s="3">
        <v>130000</v>
      </c>
      <c r="E727" s="3" t="s">
        <v>47</v>
      </c>
      <c r="F727">
        <v>2</v>
      </c>
      <c r="G727" t="s">
        <v>34</v>
      </c>
      <c r="H727" t="s">
        <v>31</v>
      </c>
      <c r="I727" t="s">
        <v>7</v>
      </c>
      <c r="J727">
        <v>3</v>
      </c>
      <c r="K727" t="s">
        <v>18</v>
      </c>
      <c r="L727" t="s">
        <v>35</v>
      </c>
      <c r="M727" t="s">
        <v>49</v>
      </c>
      <c r="N727" t="s">
        <v>17</v>
      </c>
    </row>
    <row r="728" spans="1:14">
      <c r="A728">
        <v>20084</v>
      </c>
      <c r="B728" t="s">
        <v>41</v>
      </c>
      <c r="C728" t="s">
        <v>44</v>
      </c>
      <c r="D728" s="3">
        <v>20000</v>
      </c>
      <c r="E728" s="3" t="s">
        <v>45</v>
      </c>
      <c r="F728">
        <v>2</v>
      </c>
      <c r="G728" t="s">
        <v>30</v>
      </c>
      <c r="H728" t="s">
        <v>28</v>
      </c>
      <c r="I728" t="s">
        <v>48</v>
      </c>
      <c r="J728">
        <v>2</v>
      </c>
      <c r="K728" t="s">
        <v>18</v>
      </c>
      <c r="L728" t="s">
        <v>35</v>
      </c>
      <c r="M728" t="s">
        <v>51</v>
      </c>
      <c r="N728" t="s">
        <v>20</v>
      </c>
    </row>
    <row r="729" spans="1:14">
      <c r="A729">
        <v>16144</v>
      </c>
      <c r="B729" t="s">
        <v>41</v>
      </c>
      <c r="C729" t="s">
        <v>44</v>
      </c>
      <c r="D729" s="3">
        <v>70000</v>
      </c>
      <c r="E729" s="3" t="s">
        <v>46</v>
      </c>
      <c r="F729">
        <v>1</v>
      </c>
      <c r="G729" t="s">
        <v>34</v>
      </c>
      <c r="H729" t="s">
        <v>23</v>
      </c>
      <c r="I729" t="s">
        <v>7</v>
      </c>
      <c r="J729">
        <v>1</v>
      </c>
      <c r="K729" t="s">
        <v>18</v>
      </c>
      <c r="L729" t="s">
        <v>35</v>
      </c>
      <c r="M729" t="s">
        <v>51</v>
      </c>
      <c r="N729" t="s">
        <v>17</v>
      </c>
    </row>
    <row r="730" spans="1:14">
      <c r="A730">
        <v>27731</v>
      </c>
      <c r="B730" t="s">
        <v>41</v>
      </c>
      <c r="C730" t="s">
        <v>44</v>
      </c>
      <c r="D730" s="3">
        <v>40000</v>
      </c>
      <c r="E730" s="3" t="s">
        <v>45</v>
      </c>
      <c r="F730">
        <v>0</v>
      </c>
      <c r="G730" t="s">
        <v>30</v>
      </c>
      <c r="H730" t="s">
        <v>16</v>
      </c>
      <c r="I730" t="s">
        <v>7</v>
      </c>
      <c r="J730">
        <v>2</v>
      </c>
      <c r="K730" t="s">
        <v>26</v>
      </c>
      <c r="L730" t="s">
        <v>35</v>
      </c>
      <c r="M730" t="s">
        <v>52</v>
      </c>
      <c r="N730" t="s">
        <v>20</v>
      </c>
    </row>
    <row r="731" spans="1:14">
      <c r="A731">
        <v>11886</v>
      </c>
      <c r="B731" t="s">
        <v>41</v>
      </c>
      <c r="C731" t="s">
        <v>43</v>
      </c>
      <c r="D731" s="3">
        <v>60000</v>
      </c>
      <c r="E731" s="3" t="s">
        <v>46</v>
      </c>
      <c r="F731">
        <v>3</v>
      </c>
      <c r="G731" t="s">
        <v>15</v>
      </c>
      <c r="H731" t="s">
        <v>23</v>
      </c>
      <c r="I731" t="s">
        <v>7</v>
      </c>
      <c r="J731">
        <v>1</v>
      </c>
      <c r="K731" t="s">
        <v>18</v>
      </c>
      <c r="L731" t="s">
        <v>35</v>
      </c>
      <c r="M731" t="s">
        <v>51</v>
      </c>
      <c r="N731" t="s">
        <v>17</v>
      </c>
    </row>
    <row r="732" spans="1:14">
      <c r="A732">
        <v>24324</v>
      </c>
      <c r="B732" t="s">
        <v>42</v>
      </c>
      <c r="C732" t="s">
        <v>43</v>
      </c>
      <c r="D732" s="3">
        <v>60000</v>
      </c>
      <c r="E732" s="3" t="s">
        <v>46</v>
      </c>
      <c r="F732">
        <v>4</v>
      </c>
      <c r="G732" t="s">
        <v>15</v>
      </c>
      <c r="H732" t="s">
        <v>16</v>
      </c>
      <c r="I732" t="s">
        <v>7</v>
      </c>
      <c r="J732">
        <v>2</v>
      </c>
      <c r="K732" t="s">
        <v>24</v>
      </c>
      <c r="L732" t="s">
        <v>35</v>
      </c>
      <c r="M732" t="s">
        <v>49</v>
      </c>
      <c r="N732" t="s">
        <v>17</v>
      </c>
    </row>
    <row r="733" spans="1:14">
      <c r="A733">
        <v>22220</v>
      </c>
      <c r="B733" t="s">
        <v>41</v>
      </c>
      <c r="C733" t="s">
        <v>44</v>
      </c>
      <c r="D733" s="3">
        <v>60000</v>
      </c>
      <c r="E733" s="3" t="s">
        <v>46</v>
      </c>
      <c r="F733">
        <v>2</v>
      </c>
      <c r="G733" t="s">
        <v>30</v>
      </c>
      <c r="H733" t="s">
        <v>23</v>
      </c>
      <c r="I733" t="s">
        <v>48</v>
      </c>
      <c r="J733">
        <v>2</v>
      </c>
      <c r="K733" t="s">
        <v>29</v>
      </c>
      <c r="L733" t="s">
        <v>35</v>
      </c>
      <c r="M733" t="s">
        <v>51</v>
      </c>
      <c r="N733" t="s">
        <v>17</v>
      </c>
    </row>
    <row r="734" spans="1:14">
      <c r="A734">
        <v>26625</v>
      </c>
      <c r="B734" t="s">
        <v>42</v>
      </c>
      <c r="C734" t="s">
        <v>43</v>
      </c>
      <c r="D734" s="3">
        <v>60000</v>
      </c>
      <c r="E734" s="3" t="s">
        <v>46</v>
      </c>
      <c r="F734">
        <v>0</v>
      </c>
      <c r="G734" t="s">
        <v>34</v>
      </c>
      <c r="H734" t="s">
        <v>23</v>
      </c>
      <c r="I734" t="s">
        <v>7</v>
      </c>
      <c r="J734">
        <v>1</v>
      </c>
      <c r="K734" t="s">
        <v>24</v>
      </c>
      <c r="L734" t="s">
        <v>35</v>
      </c>
      <c r="M734" t="s">
        <v>49</v>
      </c>
      <c r="N734" t="s">
        <v>17</v>
      </c>
    </row>
    <row r="735" spans="1:14">
      <c r="A735">
        <v>23027</v>
      </c>
      <c r="B735" t="s">
        <v>42</v>
      </c>
      <c r="C735" t="s">
        <v>44</v>
      </c>
      <c r="D735" s="3">
        <v>130000</v>
      </c>
      <c r="E735" s="3" t="s">
        <v>47</v>
      </c>
      <c r="F735">
        <v>1</v>
      </c>
      <c r="G735" t="s">
        <v>15</v>
      </c>
      <c r="H735" t="s">
        <v>31</v>
      </c>
      <c r="I735" t="s">
        <v>48</v>
      </c>
      <c r="J735">
        <v>4</v>
      </c>
      <c r="K735" t="s">
        <v>18</v>
      </c>
      <c r="L735" t="s">
        <v>35</v>
      </c>
      <c r="M735" t="s">
        <v>49</v>
      </c>
      <c r="N735" t="s">
        <v>20</v>
      </c>
    </row>
    <row r="736" spans="1:14">
      <c r="A736">
        <v>16867</v>
      </c>
      <c r="B736" t="s">
        <v>42</v>
      </c>
      <c r="C736" t="s">
        <v>43</v>
      </c>
      <c r="D736" s="3">
        <v>130000</v>
      </c>
      <c r="E736" s="3" t="s">
        <v>47</v>
      </c>
      <c r="F736">
        <v>1</v>
      </c>
      <c r="G736" t="s">
        <v>15</v>
      </c>
      <c r="H736" t="s">
        <v>31</v>
      </c>
      <c r="I736" t="s">
        <v>48</v>
      </c>
      <c r="J736">
        <v>3</v>
      </c>
      <c r="K736" t="s">
        <v>18</v>
      </c>
      <c r="L736" t="s">
        <v>35</v>
      </c>
      <c r="M736" t="s">
        <v>51</v>
      </c>
      <c r="N736" t="s">
        <v>17</v>
      </c>
    </row>
    <row r="737" spans="1:14">
      <c r="A737">
        <v>14514</v>
      </c>
      <c r="B737" t="s">
        <v>42</v>
      </c>
      <c r="C737" t="s">
        <v>43</v>
      </c>
      <c r="D737" s="3">
        <v>30000</v>
      </c>
      <c r="E737" s="3" t="s">
        <v>45</v>
      </c>
      <c r="F737">
        <v>0</v>
      </c>
      <c r="G737" t="s">
        <v>21</v>
      </c>
      <c r="H737" t="s">
        <v>16</v>
      </c>
      <c r="I737" t="s">
        <v>7</v>
      </c>
      <c r="J737">
        <v>1</v>
      </c>
      <c r="K737" t="s">
        <v>26</v>
      </c>
      <c r="L737" t="s">
        <v>35</v>
      </c>
      <c r="M737" t="s">
        <v>52</v>
      </c>
      <c r="N737" t="s">
        <v>20</v>
      </c>
    </row>
    <row r="738" spans="1:14">
      <c r="A738">
        <v>19634</v>
      </c>
      <c r="B738" t="s">
        <v>41</v>
      </c>
      <c r="C738" t="s">
        <v>44</v>
      </c>
      <c r="D738" s="3">
        <v>40000</v>
      </c>
      <c r="E738" s="3" t="s">
        <v>45</v>
      </c>
      <c r="F738">
        <v>0</v>
      </c>
      <c r="G738" t="s">
        <v>30</v>
      </c>
      <c r="H738" t="s">
        <v>16</v>
      </c>
      <c r="I738" t="s">
        <v>7</v>
      </c>
      <c r="J738">
        <v>1</v>
      </c>
      <c r="K738" t="s">
        <v>26</v>
      </c>
      <c r="L738" t="s">
        <v>35</v>
      </c>
      <c r="M738" t="s">
        <v>52</v>
      </c>
      <c r="N738" t="s">
        <v>20</v>
      </c>
    </row>
    <row r="739" spans="1:14">
      <c r="A739">
        <v>18504</v>
      </c>
      <c r="B739" t="s">
        <v>41</v>
      </c>
      <c r="C739" t="s">
        <v>44</v>
      </c>
      <c r="D739" s="3">
        <v>70000</v>
      </c>
      <c r="E739" s="3" t="s">
        <v>46</v>
      </c>
      <c r="F739">
        <v>2</v>
      </c>
      <c r="G739" t="s">
        <v>32</v>
      </c>
      <c r="H739" t="s">
        <v>16</v>
      </c>
      <c r="I739" t="s">
        <v>48</v>
      </c>
      <c r="J739">
        <v>2</v>
      </c>
      <c r="K739" t="s">
        <v>29</v>
      </c>
      <c r="L739" t="s">
        <v>35</v>
      </c>
      <c r="M739" t="s">
        <v>51</v>
      </c>
      <c r="N739" t="s">
        <v>20</v>
      </c>
    </row>
    <row r="740" spans="1:14">
      <c r="A740">
        <v>28799</v>
      </c>
      <c r="B740" t="s">
        <v>42</v>
      </c>
      <c r="C740" t="s">
        <v>43</v>
      </c>
      <c r="D740" s="3">
        <v>40000</v>
      </c>
      <c r="E740" s="3" t="s">
        <v>45</v>
      </c>
      <c r="F740">
        <v>2</v>
      </c>
      <c r="G740" t="s">
        <v>21</v>
      </c>
      <c r="H740" t="s">
        <v>22</v>
      </c>
      <c r="I740" t="s">
        <v>48</v>
      </c>
      <c r="J740">
        <v>1</v>
      </c>
      <c r="K740" t="s">
        <v>29</v>
      </c>
      <c r="L740" t="s">
        <v>35</v>
      </c>
      <c r="M740" t="s">
        <v>51</v>
      </c>
      <c r="N740" t="s">
        <v>17</v>
      </c>
    </row>
    <row r="741" spans="1:14">
      <c r="A741">
        <v>11225</v>
      </c>
      <c r="B741" t="s">
        <v>41</v>
      </c>
      <c r="C741" t="s">
        <v>43</v>
      </c>
      <c r="D741" s="3">
        <v>60000</v>
      </c>
      <c r="E741" s="3" t="s">
        <v>46</v>
      </c>
      <c r="F741">
        <v>2</v>
      </c>
      <c r="G741" t="s">
        <v>21</v>
      </c>
      <c r="H741" t="s">
        <v>23</v>
      </c>
      <c r="I741" t="s">
        <v>7</v>
      </c>
      <c r="J741">
        <v>1</v>
      </c>
      <c r="K741" t="s">
        <v>33</v>
      </c>
      <c r="L741" t="s">
        <v>35</v>
      </c>
      <c r="M741" t="s">
        <v>50</v>
      </c>
      <c r="N741" t="s">
        <v>20</v>
      </c>
    </row>
    <row r="742" spans="1:14">
      <c r="A742">
        <v>17657</v>
      </c>
      <c r="B742" t="s">
        <v>41</v>
      </c>
      <c r="C742" t="s">
        <v>44</v>
      </c>
      <c r="D742" s="3">
        <v>40000</v>
      </c>
      <c r="E742" s="3" t="s">
        <v>45</v>
      </c>
      <c r="F742">
        <v>4</v>
      </c>
      <c r="G742" t="s">
        <v>21</v>
      </c>
      <c r="H742" t="s">
        <v>22</v>
      </c>
      <c r="I742" t="s">
        <v>48</v>
      </c>
      <c r="J742">
        <v>0</v>
      </c>
      <c r="K742" t="s">
        <v>18</v>
      </c>
      <c r="L742" t="s">
        <v>35</v>
      </c>
      <c r="M742" t="s">
        <v>52</v>
      </c>
      <c r="N742" t="s">
        <v>20</v>
      </c>
    </row>
    <row r="743" spans="1:14">
      <c r="A743">
        <v>14913</v>
      </c>
      <c r="B743" t="s">
        <v>41</v>
      </c>
      <c r="C743" t="s">
        <v>43</v>
      </c>
      <c r="D743" s="3">
        <v>40000</v>
      </c>
      <c r="E743" s="3" t="s">
        <v>45</v>
      </c>
      <c r="F743">
        <v>1</v>
      </c>
      <c r="G743" t="s">
        <v>21</v>
      </c>
      <c r="H743" t="s">
        <v>22</v>
      </c>
      <c r="I743" t="s">
        <v>7</v>
      </c>
      <c r="J743">
        <v>1</v>
      </c>
      <c r="K743" t="s">
        <v>29</v>
      </c>
      <c r="L743" t="s">
        <v>35</v>
      </c>
      <c r="M743" t="s">
        <v>51</v>
      </c>
      <c r="N743" t="s">
        <v>17</v>
      </c>
    </row>
    <row r="744" spans="1:14">
      <c r="A744">
        <v>14077</v>
      </c>
      <c r="B744" t="s">
        <v>42</v>
      </c>
      <c r="C744" t="s">
        <v>44</v>
      </c>
      <c r="D744" s="3">
        <v>30000</v>
      </c>
      <c r="E744" s="3" t="s">
        <v>45</v>
      </c>
      <c r="F744">
        <v>0</v>
      </c>
      <c r="G744" t="s">
        <v>30</v>
      </c>
      <c r="H744" t="s">
        <v>16</v>
      </c>
      <c r="I744" t="s">
        <v>7</v>
      </c>
      <c r="J744">
        <v>2</v>
      </c>
      <c r="K744" t="s">
        <v>26</v>
      </c>
      <c r="L744" t="s">
        <v>35</v>
      </c>
      <c r="M744" t="s">
        <v>52</v>
      </c>
      <c r="N744" t="s">
        <v>20</v>
      </c>
    </row>
    <row r="745" spans="1:14">
      <c r="A745">
        <v>13296</v>
      </c>
      <c r="B745" t="s">
        <v>41</v>
      </c>
      <c r="C745" t="s">
        <v>44</v>
      </c>
      <c r="D745" s="3">
        <v>110000</v>
      </c>
      <c r="E745" s="3" t="s">
        <v>46</v>
      </c>
      <c r="F745">
        <v>1</v>
      </c>
      <c r="G745" t="s">
        <v>15</v>
      </c>
      <c r="H745" t="s">
        <v>31</v>
      </c>
      <c r="I745" t="s">
        <v>7</v>
      </c>
      <c r="J745">
        <v>3</v>
      </c>
      <c r="K745" t="s">
        <v>26</v>
      </c>
      <c r="L745" t="s">
        <v>35</v>
      </c>
      <c r="M745" t="s">
        <v>51</v>
      </c>
      <c r="N745" t="s">
        <v>20</v>
      </c>
    </row>
    <row r="746" spans="1:14">
      <c r="A746">
        <v>20535</v>
      </c>
      <c r="B746" t="s">
        <v>41</v>
      </c>
      <c r="C746" t="s">
        <v>43</v>
      </c>
      <c r="D746" s="3">
        <v>70000</v>
      </c>
      <c r="E746" s="3" t="s">
        <v>46</v>
      </c>
      <c r="F746">
        <v>4</v>
      </c>
      <c r="G746" t="s">
        <v>21</v>
      </c>
      <c r="H746" t="s">
        <v>23</v>
      </c>
      <c r="I746" t="s">
        <v>7</v>
      </c>
      <c r="J746">
        <v>1</v>
      </c>
      <c r="K746" t="s">
        <v>33</v>
      </c>
      <c r="L746" t="s">
        <v>35</v>
      </c>
      <c r="M746" t="s">
        <v>50</v>
      </c>
      <c r="N746" t="s">
        <v>20</v>
      </c>
    </row>
    <row r="747" spans="1:14">
      <c r="A747">
        <v>12452</v>
      </c>
      <c r="B747" t="s">
        <v>41</v>
      </c>
      <c r="C747" t="s">
        <v>44</v>
      </c>
      <c r="D747" s="3">
        <v>60000</v>
      </c>
      <c r="E747" s="3" t="s">
        <v>46</v>
      </c>
      <c r="F747">
        <v>4</v>
      </c>
      <c r="G747" t="s">
        <v>34</v>
      </c>
      <c r="H747" t="s">
        <v>16</v>
      </c>
      <c r="I747" t="s">
        <v>7</v>
      </c>
      <c r="J747">
        <v>0</v>
      </c>
      <c r="K747" t="s">
        <v>29</v>
      </c>
      <c r="L747" t="s">
        <v>35</v>
      </c>
      <c r="M747" t="s">
        <v>51</v>
      </c>
      <c r="N747" t="s">
        <v>17</v>
      </c>
    </row>
    <row r="748" spans="1:14">
      <c r="A748">
        <v>28043</v>
      </c>
      <c r="B748" t="s">
        <v>41</v>
      </c>
      <c r="C748" t="s">
        <v>43</v>
      </c>
      <c r="D748" s="3">
        <v>60000</v>
      </c>
      <c r="E748" s="3" t="s">
        <v>46</v>
      </c>
      <c r="F748">
        <v>2</v>
      </c>
      <c r="G748" t="s">
        <v>15</v>
      </c>
      <c r="H748" t="s">
        <v>31</v>
      </c>
      <c r="I748" t="s">
        <v>7</v>
      </c>
      <c r="J748">
        <v>0</v>
      </c>
      <c r="K748" t="s">
        <v>33</v>
      </c>
      <c r="L748" t="s">
        <v>35</v>
      </c>
      <c r="M748" t="s">
        <v>50</v>
      </c>
      <c r="N748" t="s">
        <v>20</v>
      </c>
    </row>
    <row r="749" spans="1:14">
      <c r="A749">
        <v>12957</v>
      </c>
      <c r="B749" t="s">
        <v>42</v>
      </c>
      <c r="C749" t="s">
        <v>43</v>
      </c>
      <c r="D749" s="3">
        <v>70000</v>
      </c>
      <c r="E749" s="3" t="s">
        <v>46</v>
      </c>
      <c r="F749">
        <v>1</v>
      </c>
      <c r="G749" t="s">
        <v>15</v>
      </c>
      <c r="H749" t="s">
        <v>23</v>
      </c>
      <c r="I749" t="s">
        <v>48</v>
      </c>
      <c r="J749">
        <v>1</v>
      </c>
      <c r="K749" t="s">
        <v>18</v>
      </c>
      <c r="L749" t="s">
        <v>35</v>
      </c>
      <c r="M749" t="s">
        <v>49</v>
      </c>
      <c r="N749" t="s">
        <v>20</v>
      </c>
    </row>
    <row r="750" spans="1:14">
      <c r="A750">
        <v>15412</v>
      </c>
      <c r="B750" t="s">
        <v>41</v>
      </c>
      <c r="C750" t="s">
        <v>44</v>
      </c>
      <c r="D750" s="3">
        <v>130000</v>
      </c>
      <c r="E750" s="3" t="s">
        <v>47</v>
      </c>
      <c r="F750">
        <v>2</v>
      </c>
      <c r="G750" t="s">
        <v>34</v>
      </c>
      <c r="H750" t="s">
        <v>31</v>
      </c>
      <c r="I750" t="s">
        <v>7</v>
      </c>
      <c r="J750">
        <v>3</v>
      </c>
      <c r="K750" t="s">
        <v>24</v>
      </c>
      <c r="L750" t="s">
        <v>35</v>
      </c>
      <c r="M750" t="s">
        <v>53</v>
      </c>
      <c r="N750" t="s">
        <v>20</v>
      </c>
    </row>
    <row r="751" spans="1:14">
      <c r="A751">
        <v>20514</v>
      </c>
      <c r="B751" t="s">
        <v>41</v>
      </c>
      <c r="C751" t="s">
        <v>43</v>
      </c>
      <c r="D751" s="3">
        <v>70000</v>
      </c>
      <c r="E751" s="3" t="s">
        <v>46</v>
      </c>
      <c r="F751">
        <v>2</v>
      </c>
      <c r="G751" t="s">
        <v>21</v>
      </c>
      <c r="H751" t="s">
        <v>23</v>
      </c>
      <c r="I751" t="s">
        <v>7</v>
      </c>
      <c r="J751">
        <v>1</v>
      </c>
      <c r="K751" t="s">
        <v>24</v>
      </c>
      <c r="L751" t="s">
        <v>35</v>
      </c>
      <c r="M751" t="s">
        <v>50</v>
      </c>
      <c r="N751" t="s">
        <v>20</v>
      </c>
    </row>
    <row r="752" spans="1:14">
      <c r="A752">
        <v>20758</v>
      </c>
      <c r="B752" t="s">
        <v>41</v>
      </c>
      <c r="C752" t="s">
        <v>44</v>
      </c>
      <c r="D752" s="3">
        <v>30000</v>
      </c>
      <c r="E752" s="3" t="s">
        <v>45</v>
      </c>
      <c r="F752">
        <v>2</v>
      </c>
      <c r="G752" t="s">
        <v>30</v>
      </c>
      <c r="H752" t="s">
        <v>16</v>
      </c>
      <c r="I752" t="s">
        <v>7</v>
      </c>
      <c r="J752">
        <v>2</v>
      </c>
      <c r="K752" t="s">
        <v>29</v>
      </c>
      <c r="L752" t="s">
        <v>35</v>
      </c>
      <c r="M752" t="s">
        <v>51</v>
      </c>
      <c r="N752" t="s">
        <v>20</v>
      </c>
    </row>
    <row r="753" spans="1:14">
      <c r="A753">
        <v>11801</v>
      </c>
      <c r="B753" t="s">
        <v>41</v>
      </c>
      <c r="C753" t="s">
        <v>44</v>
      </c>
      <c r="D753" s="3">
        <v>60000</v>
      </c>
      <c r="E753" s="3" t="s">
        <v>46</v>
      </c>
      <c r="F753">
        <v>1</v>
      </c>
      <c r="G753" t="s">
        <v>34</v>
      </c>
      <c r="H753" t="s">
        <v>23</v>
      </c>
      <c r="I753" t="s">
        <v>7</v>
      </c>
      <c r="J753">
        <v>0</v>
      </c>
      <c r="K753" t="s">
        <v>24</v>
      </c>
      <c r="L753" t="s">
        <v>35</v>
      </c>
      <c r="M753" t="s">
        <v>49</v>
      </c>
      <c r="N753" t="s">
        <v>20</v>
      </c>
    </row>
    <row r="754" spans="1:14">
      <c r="A754">
        <v>22211</v>
      </c>
      <c r="B754" t="s">
        <v>41</v>
      </c>
      <c r="C754" t="s">
        <v>44</v>
      </c>
      <c r="D754" s="3">
        <v>60000</v>
      </c>
      <c r="E754" s="3" t="s">
        <v>46</v>
      </c>
      <c r="F754">
        <v>0</v>
      </c>
      <c r="G754" t="s">
        <v>21</v>
      </c>
      <c r="H754" t="s">
        <v>23</v>
      </c>
      <c r="I754" t="s">
        <v>7</v>
      </c>
      <c r="J754">
        <v>2</v>
      </c>
      <c r="K754" t="s">
        <v>26</v>
      </c>
      <c r="L754" t="s">
        <v>35</v>
      </c>
      <c r="M754" t="s">
        <v>52</v>
      </c>
      <c r="N754" t="s">
        <v>20</v>
      </c>
    </row>
    <row r="755" spans="1:14">
      <c r="A755">
        <v>28087</v>
      </c>
      <c r="B755" t="s">
        <v>42</v>
      </c>
      <c r="C755" t="s">
        <v>43</v>
      </c>
      <c r="D755" s="3">
        <v>40000</v>
      </c>
      <c r="E755" s="3" t="s">
        <v>45</v>
      </c>
      <c r="F755">
        <v>0</v>
      </c>
      <c r="G755" t="s">
        <v>21</v>
      </c>
      <c r="H755" t="s">
        <v>16</v>
      </c>
      <c r="I755" t="s">
        <v>48</v>
      </c>
      <c r="J755">
        <v>1</v>
      </c>
      <c r="K755" t="s">
        <v>29</v>
      </c>
      <c r="L755" t="s">
        <v>35</v>
      </c>
      <c r="M755" t="s">
        <v>52</v>
      </c>
      <c r="N755" t="s">
        <v>20</v>
      </c>
    </row>
    <row r="756" spans="1:14">
      <c r="A756">
        <v>23668</v>
      </c>
      <c r="B756" t="s">
        <v>41</v>
      </c>
      <c r="C756" t="s">
        <v>43</v>
      </c>
      <c r="D756" s="3">
        <v>40000</v>
      </c>
      <c r="E756" s="3" t="s">
        <v>45</v>
      </c>
      <c r="F756">
        <v>4</v>
      </c>
      <c r="G756" t="s">
        <v>30</v>
      </c>
      <c r="H756" t="s">
        <v>23</v>
      </c>
      <c r="I756" t="s">
        <v>7</v>
      </c>
      <c r="J756">
        <v>2</v>
      </c>
      <c r="K756" t="s">
        <v>26</v>
      </c>
      <c r="L756" t="s">
        <v>35</v>
      </c>
      <c r="M756" t="s">
        <v>50</v>
      </c>
      <c r="N756" t="s">
        <v>17</v>
      </c>
    </row>
    <row r="757" spans="1:14">
      <c r="A757">
        <v>27441</v>
      </c>
      <c r="B757" t="s">
        <v>41</v>
      </c>
      <c r="C757" t="s">
        <v>44</v>
      </c>
      <c r="D757" s="3">
        <v>60000</v>
      </c>
      <c r="E757" s="3" t="s">
        <v>46</v>
      </c>
      <c r="F757">
        <v>3</v>
      </c>
      <c r="G757" t="s">
        <v>30</v>
      </c>
      <c r="H757" t="s">
        <v>23</v>
      </c>
      <c r="I757" t="s">
        <v>48</v>
      </c>
      <c r="J757">
        <v>2</v>
      </c>
      <c r="K757" t="s">
        <v>24</v>
      </c>
      <c r="L757" t="s">
        <v>35</v>
      </c>
      <c r="M757" t="s">
        <v>51</v>
      </c>
      <c r="N757" t="s">
        <v>20</v>
      </c>
    </row>
    <row r="758" spans="1:14">
      <c r="A758">
        <v>27261</v>
      </c>
      <c r="B758" t="s">
        <v>41</v>
      </c>
      <c r="C758" t="s">
        <v>44</v>
      </c>
      <c r="D758" s="3">
        <v>40000</v>
      </c>
      <c r="E758" s="3" t="s">
        <v>45</v>
      </c>
      <c r="F758">
        <v>1</v>
      </c>
      <c r="G758" t="s">
        <v>15</v>
      </c>
      <c r="H758" t="s">
        <v>16</v>
      </c>
      <c r="I758" t="s">
        <v>48</v>
      </c>
      <c r="J758">
        <v>1</v>
      </c>
      <c r="K758" t="s">
        <v>18</v>
      </c>
      <c r="L758" t="s">
        <v>35</v>
      </c>
      <c r="M758" t="s">
        <v>49</v>
      </c>
      <c r="N758" t="s">
        <v>17</v>
      </c>
    </row>
    <row r="759" spans="1:14">
      <c r="A759">
        <v>18649</v>
      </c>
      <c r="B759" t="s">
        <v>42</v>
      </c>
      <c r="C759" t="s">
        <v>44</v>
      </c>
      <c r="D759" s="3">
        <v>30000</v>
      </c>
      <c r="E759" s="3" t="s">
        <v>45</v>
      </c>
      <c r="F759">
        <v>1</v>
      </c>
      <c r="G759" t="s">
        <v>30</v>
      </c>
      <c r="H759" t="s">
        <v>22</v>
      </c>
      <c r="I759" t="s">
        <v>7</v>
      </c>
      <c r="J759">
        <v>2</v>
      </c>
      <c r="K759" t="s">
        <v>29</v>
      </c>
      <c r="L759" t="s">
        <v>35</v>
      </c>
      <c r="M759" t="s">
        <v>51</v>
      </c>
      <c r="N759" t="s">
        <v>17</v>
      </c>
    </row>
    <row r="760" spans="1:14">
      <c r="A760">
        <v>21714</v>
      </c>
      <c r="B760" t="s">
        <v>42</v>
      </c>
      <c r="C760" t="s">
        <v>43</v>
      </c>
      <c r="D760" s="3">
        <v>80000</v>
      </c>
      <c r="E760" s="3" t="s">
        <v>46</v>
      </c>
      <c r="F760">
        <v>5</v>
      </c>
      <c r="G760" t="s">
        <v>34</v>
      </c>
      <c r="H760" t="s">
        <v>16</v>
      </c>
      <c r="I760" t="s">
        <v>48</v>
      </c>
      <c r="J760">
        <v>0</v>
      </c>
      <c r="K760" t="s">
        <v>18</v>
      </c>
      <c r="L760" t="s">
        <v>35</v>
      </c>
      <c r="M760" t="s">
        <v>51</v>
      </c>
      <c r="N760" t="s">
        <v>20</v>
      </c>
    </row>
    <row r="761" spans="1:14">
      <c r="A761">
        <v>23217</v>
      </c>
      <c r="B761" t="s">
        <v>42</v>
      </c>
      <c r="C761" t="s">
        <v>43</v>
      </c>
      <c r="D761" s="3">
        <v>60000</v>
      </c>
      <c r="E761" s="3" t="s">
        <v>46</v>
      </c>
      <c r="F761">
        <v>3</v>
      </c>
      <c r="G761" t="s">
        <v>34</v>
      </c>
      <c r="H761" t="s">
        <v>23</v>
      </c>
      <c r="I761" t="s">
        <v>7</v>
      </c>
      <c r="J761">
        <v>0</v>
      </c>
      <c r="K761" t="s">
        <v>24</v>
      </c>
      <c r="L761" t="s">
        <v>35</v>
      </c>
      <c r="M761" t="s">
        <v>49</v>
      </c>
      <c r="N761" t="s">
        <v>17</v>
      </c>
    </row>
    <row r="762" spans="1:14">
      <c r="A762">
        <v>23797</v>
      </c>
      <c r="B762" t="s">
        <v>42</v>
      </c>
      <c r="C762" t="s">
        <v>44</v>
      </c>
      <c r="D762" s="3">
        <v>20000</v>
      </c>
      <c r="E762" s="3" t="s">
        <v>45</v>
      </c>
      <c r="F762">
        <v>3</v>
      </c>
      <c r="G762" t="s">
        <v>32</v>
      </c>
      <c r="H762" t="s">
        <v>22</v>
      </c>
      <c r="I762" t="s">
        <v>48</v>
      </c>
      <c r="J762">
        <v>2</v>
      </c>
      <c r="K762" t="s">
        <v>18</v>
      </c>
      <c r="L762" t="s">
        <v>35</v>
      </c>
      <c r="M762" t="s">
        <v>51</v>
      </c>
      <c r="N762" t="s">
        <v>20</v>
      </c>
    </row>
    <row r="763" spans="1:14">
      <c r="A763">
        <v>13216</v>
      </c>
      <c r="B763" t="s">
        <v>41</v>
      </c>
      <c r="C763" t="s">
        <v>43</v>
      </c>
      <c r="D763" s="3">
        <v>60000</v>
      </c>
      <c r="E763" s="3" t="s">
        <v>46</v>
      </c>
      <c r="F763">
        <v>5</v>
      </c>
      <c r="G763" t="s">
        <v>15</v>
      </c>
      <c r="H763" t="s">
        <v>31</v>
      </c>
      <c r="I763" t="s">
        <v>7</v>
      </c>
      <c r="J763">
        <v>3</v>
      </c>
      <c r="K763" t="s">
        <v>33</v>
      </c>
      <c r="L763" t="s">
        <v>35</v>
      </c>
      <c r="M763" t="s">
        <v>50</v>
      </c>
      <c r="N763" t="s">
        <v>20</v>
      </c>
    </row>
    <row r="764" spans="1:14">
      <c r="A764">
        <v>20657</v>
      </c>
      <c r="B764" t="s">
        <v>42</v>
      </c>
      <c r="C764" t="s">
        <v>44</v>
      </c>
      <c r="D764" s="3">
        <v>50000</v>
      </c>
      <c r="E764" s="3" t="s">
        <v>45</v>
      </c>
      <c r="F764">
        <v>2</v>
      </c>
      <c r="G764" t="s">
        <v>15</v>
      </c>
      <c r="H764" t="s">
        <v>16</v>
      </c>
      <c r="I764" t="s">
        <v>7</v>
      </c>
      <c r="J764">
        <v>0</v>
      </c>
      <c r="K764" t="s">
        <v>24</v>
      </c>
      <c r="L764" t="s">
        <v>35</v>
      </c>
      <c r="M764" t="s">
        <v>49</v>
      </c>
      <c r="N764" t="s">
        <v>17</v>
      </c>
    </row>
    <row r="765" spans="1:14">
      <c r="A765">
        <v>12882</v>
      </c>
      <c r="B765" t="s">
        <v>41</v>
      </c>
      <c r="C765" t="s">
        <v>44</v>
      </c>
      <c r="D765" s="3">
        <v>50000</v>
      </c>
      <c r="E765" s="3" t="s">
        <v>45</v>
      </c>
      <c r="F765">
        <v>1</v>
      </c>
      <c r="G765" t="s">
        <v>34</v>
      </c>
      <c r="H765" t="s">
        <v>16</v>
      </c>
      <c r="I765" t="s">
        <v>7</v>
      </c>
      <c r="J765">
        <v>0</v>
      </c>
      <c r="K765" t="s">
        <v>18</v>
      </c>
      <c r="L765" t="s">
        <v>35</v>
      </c>
      <c r="M765" t="s">
        <v>52</v>
      </c>
      <c r="N765" t="s">
        <v>17</v>
      </c>
    </row>
    <row r="766" spans="1:14">
      <c r="A766">
        <v>25908</v>
      </c>
      <c r="B766" t="s">
        <v>41</v>
      </c>
      <c r="C766" t="s">
        <v>43</v>
      </c>
      <c r="D766" s="3">
        <v>60000</v>
      </c>
      <c r="E766" s="3" t="s">
        <v>46</v>
      </c>
      <c r="F766">
        <v>0</v>
      </c>
      <c r="G766" t="s">
        <v>21</v>
      </c>
      <c r="H766" t="s">
        <v>16</v>
      </c>
      <c r="I766" t="s">
        <v>48</v>
      </c>
      <c r="J766">
        <v>1</v>
      </c>
      <c r="K766" t="s">
        <v>29</v>
      </c>
      <c r="L766" t="s">
        <v>35</v>
      </c>
      <c r="M766" t="s">
        <v>52</v>
      </c>
      <c r="N766" t="s">
        <v>20</v>
      </c>
    </row>
    <row r="767" spans="1:14">
      <c r="A767">
        <v>16753</v>
      </c>
      <c r="B767" t="s">
        <v>42</v>
      </c>
      <c r="C767" t="s">
        <v>43</v>
      </c>
      <c r="D767" s="3">
        <v>70000</v>
      </c>
      <c r="E767" s="3" t="s">
        <v>46</v>
      </c>
      <c r="F767">
        <v>0</v>
      </c>
      <c r="G767" t="s">
        <v>21</v>
      </c>
      <c r="H767" t="s">
        <v>16</v>
      </c>
      <c r="I767" t="s">
        <v>7</v>
      </c>
      <c r="J767">
        <v>2</v>
      </c>
      <c r="K767" t="s">
        <v>26</v>
      </c>
      <c r="L767" t="s">
        <v>35</v>
      </c>
      <c r="M767" t="s">
        <v>52</v>
      </c>
      <c r="N767" t="s">
        <v>17</v>
      </c>
    </row>
    <row r="768" spans="1:14">
      <c r="A768">
        <v>14608</v>
      </c>
      <c r="B768" t="s">
        <v>41</v>
      </c>
      <c r="C768" t="s">
        <v>44</v>
      </c>
      <c r="D768" s="3">
        <v>50000</v>
      </c>
      <c r="E768" s="3" t="s">
        <v>45</v>
      </c>
      <c r="F768">
        <v>4</v>
      </c>
      <c r="G768" t="s">
        <v>15</v>
      </c>
      <c r="H768" t="s">
        <v>16</v>
      </c>
      <c r="I768" t="s">
        <v>7</v>
      </c>
      <c r="J768">
        <v>3</v>
      </c>
      <c r="K768" t="s">
        <v>33</v>
      </c>
      <c r="L768" t="s">
        <v>35</v>
      </c>
      <c r="M768" t="s">
        <v>49</v>
      </c>
      <c r="N768" t="s">
        <v>20</v>
      </c>
    </row>
    <row r="769" spans="1:14">
      <c r="A769">
        <v>24979</v>
      </c>
      <c r="B769" t="s">
        <v>41</v>
      </c>
      <c r="C769" t="s">
        <v>43</v>
      </c>
      <c r="D769" s="3">
        <v>60000</v>
      </c>
      <c r="E769" s="3" t="s">
        <v>46</v>
      </c>
      <c r="F769">
        <v>2</v>
      </c>
      <c r="G769" t="s">
        <v>21</v>
      </c>
      <c r="H769" t="s">
        <v>23</v>
      </c>
      <c r="I769" t="s">
        <v>7</v>
      </c>
      <c r="J769">
        <v>2</v>
      </c>
      <c r="K769" t="s">
        <v>24</v>
      </c>
      <c r="L769" t="s">
        <v>35</v>
      </c>
      <c r="M769" t="s">
        <v>50</v>
      </c>
      <c r="N769" t="s">
        <v>17</v>
      </c>
    </row>
    <row r="770" spans="1:14">
      <c r="A770">
        <v>13313</v>
      </c>
      <c r="B770" t="s">
        <v>41</v>
      </c>
      <c r="C770" t="s">
        <v>43</v>
      </c>
      <c r="D770" s="3">
        <v>120000</v>
      </c>
      <c r="E770" s="3" t="s">
        <v>47</v>
      </c>
      <c r="F770">
        <v>1</v>
      </c>
      <c r="G770" t="s">
        <v>30</v>
      </c>
      <c r="H770" t="s">
        <v>23</v>
      </c>
      <c r="I770" t="s">
        <v>48</v>
      </c>
      <c r="J770">
        <v>4</v>
      </c>
      <c r="K770" t="s">
        <v>24</v>
      </c>
      <c r="L770" t="s">
        <v>35</v>
      </c>
      <c r="M770" t="s">
        <v>51</v>
      </c>
      <c r="N770" t="s">
        <v>20</v>
      </c>
    </row>
    <row r="771" spans="1:14">
      <c r="A771">
        <v>18952</v>
      </c>
      <c r="B771" t="s">
        <v>41</v>
      </c>
      <c r="C771" t="s">
        <v>43</v>
      </c>
      <c r="D771" s="3">
        <v>100000</v>
      </c>
      <c r="E771" s="3" t="s">
        <v>46</v>
      </c>
      <c r="F771">
        <v>4</v>
      </c>
      <c r="G771" t="s">
        <v>15</v>
      </c>
      <c r="H771" t="s">
        <v>31</v>
      </c>
      <c r="I771" t="s">
        <v>7</v>
      </c>
      <c r="J771">
        <v>4</v>
      </c>
      <c r="K771" t="s">
        <v>18</v>
      </c>
      <c r="L771" t="s">
        <v>35</v>
      </c>
      <c r="M771" t="s">
        <v>49</v>
      </c>
      <c r="N771" t="s">
        <v>20</v>
      </c>
    </row>
    <row r="772" spans="1:14">
      <c r="A772">
        <v>17699</v>
      </c>
      <c r="B772" t="s">
        <v>41</v>
      </c>
      <c r="C772" t="s">
        <v>44</v>
      </c>
      <c r="D772" s="3">
        <v>60000</v>
      </c>
      <c r="E772" s="3" t="s">
        <v>46</v>
      </c>
      <c r="F772">
        <v>1</v>
      </c>
      <c r="G772" t="s">
        <v>34</v>
      </c>
      <c r="H772" t="s">
        <v>16</v>
      </c>
      <c r="I772" t="s">
        <v>48</v>
      </c>
      <c r="J772">
        <v>0</v>
      </c>
      <c r="K772" t="s">
        <v>18</v>
      </c>
      <c r="L772" t="s">
        <v>35</v>
      </c>
      <c r="M772" t="s">
        <v>50</v>
      </c>
      <c r="N772" t="s">
        <v>20</v>
      </c>
    </row>
    <row r="773" spans="1:14">
      <c r="A773">
        <v>14657</v>
      </c>
      <c r="B773" t="s">
        <v>41</v>
      </c>
      <c r="C773" t="s">
        <v>44</v>
      </c>
      <c r="D773" s="3">
        <v>80000</v>
      </c>
      <c r="E773" s="3" t="s">
        <v>46</v>
      </c>
      <c r="F773">
        <v>1</v>
      </c>
      <c r="G773" t="s">
        <v>21</v>
      </c>
      <c r="H773" t="s">
        <v>16</v>
      </c>
      <c r="I773" t="s">
        <v>48</v>
      </c>
      <c r="J773">
        <v>1</v>
      </c>
      <c r="K773" t="s">
        <v>18</v>
      </c>
      <c r="L773" t="s">
        <v>35</v>
      </c>
      <c r="M773" t="s">
        <v>51</v>
      </c>
      <c r="N773" t="s">
        <v>17</v>
      </c>
    </row>
    <row r="774" spans="1:14">
      <c r="A774">
        <v>11540</v>
      </c>
      <c r="B774" t="s">
        <v>42</v>
      </c>
      <c r="C774" t="s">
        <v>44</v>
      </c>
      <c r="D774" s="3">
        <v>60000</v>
      </c>
      <c r="E774" s="3" t="s">
        <v>46</v>
      </c>
      <c r="F774">
        <v>4</v>
      </c>
      <c r="G774" t="s">
        <v>34</v>
      </c>
      <c r="H774" t="s">
        <v>16</v>
      </c>
      <c r="I774" t="s">
        <v>7</v>
      </c>
      <c r="J774">
        <v>0</v>
      </c>
      <c r="K774" t="s">
        <v>29</v>
      </c>
      <c r="L774" t="s">
        <v>35</v>
      </c>
      <c r="M774" t="s">
        <v>51</v>
      </c>
      <c r="N774" t="s">
        <v>17</v>
      </c>
    </row>
    <row r="775" spans="1:14">
      <c r="A775">
        <v>11783</v>
      </c>
      <c r="B775" t="s">
        <v>41</v>
      </c>
      <c r="C775" t="s">
        <v>43</v>
      </c>
      <c r="D775" s="3">
        <v>60000</v>
      </c>
      <c r="E775" s="3" t="s">
        <v>46</v>
      </c>
      <c r="F775">
        <v>1</v>
      </c>
      <c r="G775" t="s">
        <v>34</v>
      </c>
      <c r="H775" t="s">
        <v>16</v>
      </c>
      <c r="I775" t="s">
        <v>7</v>
      </c>
      <c r="J775">
        <v>0</v>
      </c>
      <c r="K775" t="s">
        <v>18</v>
      </c>
      <c r="L775" t="s">
        <v>35</v>
      </c>
      <c r="M775" t="s">
        <v>52</v>
      </c>
      <c r="N775" t="s">
        <v>20</v>
      </c>
    </row>
    <row r="776" spans="1:14">
      <c r="A776">
        <v>14602</v>
      </c>
      <c r="B776" t="s">
        <v>41</v>
      </c>
      <c r="C776" t="s">
        <v>43</v>
      </c>
      <c r="D776" s="3">
        <v>80000</v>
      </c>
      <c r="E776" s="3" t="s">
        <v>46</v>
      </c>
      <c r="F776">
        <v>3</v>
      </c>
      <c r="G776" t="s">
        <v>34</v>
      </c>
      <c r="H776" t="s">
        <v>23</v>
      </c>
      <c r="I776" t="s">
        <v>7</v>
      </c>
      <c r="J776">
        <v>0</v>
      </c>
      <c r="K776" t="s">
        <v>18</v>
      </c>
      <c r="L776" t="s">
        <v>35</v>
      </c>
      <c r="M776" t="s">
        <v>49</v>
      </c>
      <c r="N776" t="s">
        <v>17</v>
      </c>
    </row>
    <row r="777" spans="1:14">
      <c r="A777">
        <v>29030</v>
      </c>
      <c r="B777" t="s">
        <v>41</v>
      </c>
      <c r="C777" t="s">
        <v>44</v>
      </c>
      <c r="D777" s="3">
        <v>70000</v>
      </c>
      <c r="E777" s="3" t="s">
        <v>46</v>
      </c>
      <c r="F777">
        <v>2</v>
      </c>
      <c r="G777" t="s">
        <v>32</v>
      </c>
      <c r="H777" t="s">
        <v>16</v>
      </c>
      <c r="I777" t="s">
        <v>7</v>
      </c>
      <c r="J777">
        <v>2</v>
      </c>
      <c r="K777" t="s">
        <v>33</v>
      </c>
      <c r="L777" t="s">
        <v>35</v>
      </c>
      <c r="M777" t="s">
        <v>51</v>
      </c>
      <c r="N777" t="s">
        <v>20</v>
      </c>
    </row>
    <row r="778" spans="1:14">
      <c r="A778">
        <v>26490</v>
      </c>
      <c r="B778" t="s">
        <v>42</v>
      </c>
      <c r="C778" t="s">
        <v>44</v>
      </c>
      <c r="D778" s="3">
        <v>70000</v>
      </c>
      <c r="E778" s="3" t="s">
        <v>46</v>
      </c>
      <c r="F778">
        <v>2</v>
      </c>
      <c r="G778" t="s">
        <v>15</v>
      </c>
      <c r="H778" t="s">
        <v>31</v>
      </c>
      <c r="I778" t="s">
        <v>48</v>
      </c>
      <c r="J778">
        <v>1</v>
      </c>
      <c r="K778" t="s">
        <v>24</v>
      </c>
      <c r="L778" t="s">
        <v>35</v>
      </c>
      <c r="M778" t="s">
        <v>50</v>
      </c>
      <c r="N778" t="s">
        <v>17</v>
      </c>
    </row>
    <row r="779" spans="1:14">
      <c r="A779">
        <v>13151</v>
      </c>
      <c r="B779" t="s">
        <v>42</v>
      </c>
      <c r="C779" t="s">
        <v>44</v>
      </c>
      <c r="D779" s="3">
        <v>40000</v>
      </c>
      <c r="E779" s="3" t="s">
        <v>45</v>
      </c>
      <c r="F779">
        <v>0</v>
      </c>
      <c r="G779" t="s">
        <v>30</v>
      </c>
      <c r="H779" t="s">
        <v>16</v>
      </c>
      <c r="I779" t="s">
        <v>7</v>
      </c>
      <c r="J779">
        <v>2</v>
      </c>
      <c r="K779" t="s">
        <v>26</v>
      </c>
      <c r="L779" t="s">
        <v>35</v>
      </c>
      <c r="M779" t="s">
        <v>52</v>
      </c>
      <c r="N779" t="s">
        <v>20</v>
      </c>
    </row>
    <row r="780" spans="1:14">
      <c r="A780">
        <v>17260</v>
      </c>
      <c r="B780" t="s">
        <v>41</v>
      </c>
      <c r="C780" t="s">
        <v>44</v>
      </c>
      <c r="D780" s="3">
        <v>90000</v>
      </c>
      <c r="E780" s="3" t="s">
        <v>46</v>
      </c>
      <c r="F780">
        <v>5</v>
      </c>
      <c r="G780" t="s">
        <v>21</v>
      </c>
      <c r="H780" t="s">
        <v>23</v>
      </c>
      <c r="I780" t="s">
        <v>7</v>
      </c>
      <c r="J780">
        <v>3</v>
      </c>
      <c r="K780" t="s">
        <v>18</v>
      </c>
      <c r="L780" t="s">
        <v>35</v>
      </c>
      <c r="M780" t="s">
        <v>49</v>
      </c>
      <c r="N780" t="s">
        <v>20</v>
      </c>
    </row>
    <row r="781" spans="1:14">
      <c r="A781">
        <v>15372</v>
      </c>
      <c r="B781" t="s">
        <v>41</v>
      </c>
      <c r="C781" t="s">
        <v>44</v>
      </c>
      <c r="D781" s="3">
        <v>80000</v>
      </c>
      <c r="E781" s="3" t="s">
        <v>46</v>
      </c>
      <c r="F781">
        <v>3</v>
      </c>
      <c r="G781" t="s">
        <v>21</v>
      </c>
      <c r="H781" t="s">
        <v>23</v>
      </c>
      <c r="I781" t="s">
        <v>48</v>
      </c>
      <c r="J781">
        <v>2</v>
      </c>
      <c r="K781" t="s">
        <v>24</v>
      </c>
      <c r="L781" t="s">
        <v>35</v>
      </c>
      <c r="M781" t="s">
        <v>51</v>
      </c>
      <c r="N781" t="s">
        <v>17</v>
      </c>
    </row>
    <row r="782" spans="1:14">
      <c r="A782">
        <v>18105</v>
      </c>
      <c r="B782" t="s">
        <v>41</v>
      </c>
      <c r="C782" t="s">
        <v>43</v>
      </c>
      <c r="D782" s="3">
        <v>60000</v>
      </c>
      <c r="E782" s="3" t="s">
        <v>46</v>
      </c>
      <c r="F782">
        <v>2</v>
      </c>
      <c r="G782" t="s">
        <v>21</v>
      </c>
      <c r="H782" t="s">
        <v>23</v>
      </c>
      <c r="I782" t="s">
        <v>7</v>
      </c>
      <c r="J782">
        <v>1</v>
      </c>
      <c r="K782" t="s">
        <v>33</v>
      </c>
      <c r="L782" t="s">
        <v>35</v>
      </c>
      <c r="M782" t="s">
        <v>50</v>
      </c>
      <c r="N782" t="s">
        <v>20</v>
      </c>
    </row>
    <row r="783" spans="1:14">
      <c r="A783">
        <v>19660</v>
      </c>
      <c r="B783" t="s">
        <v>41</v>
      </c>
      <c r="C783" t="s">
        <v>44</v>
      </c>
      <c r="D783" s="3">
        <v>80000</v>
      </c>
      <c r="E783" s="3" t="s">
        <v>46</v>
      </c>
      <c r="F783">
        <v>4</v>
      </c>
      <c r="G783" t="s">
        <v>15</v>
      </c>
      <c r="H783" t="s">
        <v>31</v>
      </c>
      <c r="I783" t="s">
        <v>7</v>
      </c>
      <c r="J783">
        <v>0</v>
      </c>
      <c r="K783" t="s">
        <v>18</v>
      </c>
      <c r="L783" t="s">
        <v>35</v>
      </c>
      <c r="M783" t="s">
        <v>49</v>
      </c>
      <c r="N783" t="s">
        <v>20</v>
      </c>
    </row>
    <row r="784" spans="1:14">
      <c r="A784">
        <v>16112</v>
      </c>
      <c r="B784" t="s">
        <v>42</v>
      </c>
      <c r="C784" t="s">
        <v>44</v>
      </c>
      <c r="D784" s="3">
        <v>70000</v>
      </c>
      <c r="E784" s="3" t="s">
        <v>46</v>
      </c>
      <c r="F784">
        <v>4</v>
      </c>
      <c r="G784" t="s">
        <v>15</v>
      </c>
      <c r="H784" t="s">
        <v>23</v>
      </c>
      <c r="I784" t="s">
        <v>7</v>
      </c>
      <c r="J784">
        <v>2</v>
      </c>
      <c r="K784" t="s">
        <v>24</v>
      </c>
      <c r="L784" t="s">
        <v>35</v>
      </c>
      <c r="M784" t="s">
        <v>49</v>
      </c>
      <c r="N784" t="s">
        <v>17</v>
      </c>
    </row>
    <row r="785" spans="1:14">
      <c r="A785">
        <v>20698</v>
      </c>
      <c r="B785" t="s">
        <v>41</v>
      </c>
      <c r="C785" t="s">
        <v>44</v>
      </c>
      <c r="D785" s="3">
        <v>60000</v>
      </c>
      <c r="E785" s="3" t="s">
        <v>46</v>
      </c>
      <c r="F785">
        <v>4</v>
      </c>
      <c r="G785" t="s">
        <v>15</v>
      </c>
      <c r="H785" t="s">
        <v>16</v>
      </c>
      <c r="I785" t="s">
        <v>7</v>
      </c>
      <c r="J785">
        <v>3</v>
      </c>
      <c r="K785" t="s">
        <v>26</v>
      </c>
      <c r="L785" t="s">
        <v>35</v>
      </c>
      <c r="M785" t="s">
        <v>49</v>
      </c>
      <c r="N785" t="s">
        <v>20</v>
      </c>
    </row>
    <row r="786" spans="1:14">
      <c r="A786">
        <v>20076</v>
      </c>
      <c r="B786" t="s">
        <v>42</v>
      </c>
      <c r="C786" t="s">
        <v>43</v>
      </c>
      <c r="D786" s="3">
        <v>10000</v>
      </c>
      <c r="E786" s="3" t="s">
        <v>45</v>
      </c>
      <c r="F786">
        <v>2</v>
      </c>
      <c r="G786" t="s">
        <v>30</v>
      </c>
      <c r="H786" t="s">
        <v>28</v>
      </c>
      <c r="I786" t="s">
        <v>7</v>
      </c>
      <c r="J786">
        <v>2</v>
      </c>
      <c r="K786" t="s">
        <v>29</v>
      </c>
      <c r="L786" t="s">
        <v>35</v>
      </c>
      <c r="M786" t="s">
        <v>51</v>
      </c>
      <c r="N786" t="s">
        <v>17</v>
      </c>
    </row>
    <row r="787" spans="1:14">
      <c r="A787">
        <v>24496</v>
      </c>
      <c r="B787" t="s">
        <v>42</v>
      </c>
      <c r="C787" t="s">
        <v>43</v>
      </c>
      <c r="D787" s="3">
        <v>40000</v>
      </c>
      <c r="E787" s="3" t="s">
        <v>45</v>
      </c>
      <c r="F787">
        <v>0</v>
      </c>
      <c r="G787" t="s">
        <v>30</v>
      </c>
      <c r="H787" t="s">
        <v>16</v>
      </c>
      <c r="I787" t="s">
        <v>48</v>
      </c>
      <c r="J787">
        <v>2</v>
      </c>
      <c r="K787" t="s">
        <v>18</v>
      </c>
      <c r="L787" t="s">
        <v>35</v>
      </c>
      <c r="M787" t="s">
        <v>52</v>
      </c>
      <c r="N787" t="s">
        <v>17</v>
      </c>
    </row>
    <row r="788" spans="1:14">
      <c r="A788">
        <v>15468</v>
      </c>
      <c r="B788" t="s">
        <v>41</v>
      </c>
      <c r="C788" t="s">
        <v>43</v>
      </c>
      <c r="D788" s="3">
        <v>50000</v>
      </c>
      <c r="E788" s="3" t="s">
        <v>45</v>
      </c>
      <c r="F788">
        <v>1</v>
      </c>
      <c r="G788" t="s">
        <v>15</v>
      </c>
      <c r="H788" t="s">
        <v>16</v>
      </c>
      <c r="I788" t="s">
        <v>7</v>
      </c>
      <c r="J788">
        <v>1</v>
      </c>
      <c r="K788" t="s">
        <v>18</v>
      </c>
      <c r="L788" t="s">
        <v>35</v>
      </c>
      <c r="M788" t="s">
        <v>49</v>
      </c>
      <c r="N788" t="s">
        <v>20</v>
      </c>
    </row>
    <row r="789" spans="1:14">
      <c r="A789">
        <v>28031</v>
      </c>
      <c r="B789" t="s">
        <v>42</v>
      </c>
      <c r="C789" t="s">
        <v>43</v>
      </c>
      <c r="D789" s="3">
        <v>70000</v>
      </c>
      <c r="E789" s="3" t="s">
        <v>46</v>
      </c>
      <c r="F789">
        <v>2</v>
      </c>
      <c r="G789" t="s">
        <v>15</v>
      </c>
      <c r="H789" t="s">
        <v>31</v>
      </c>
      <c r="I789" t="s">
        <v>48</v>
      </c>
      <c r="J789">
        <v>1</v>
      </c>
      <c r="K789" t="s">
        <v>24</v>
      </c>
      <c r="L789" t="s">
        <v>35</v>
      </c>
      <c r="M789" t="s">
        <v>50</v>
      </c>
      <c r="N789" t="s">
        <v>17</v>
      </c>
    </row>
    <row r="790" spans="1:14">
      <c r="A790">
        <v>26270</v>
      </c>
      <c r="B790" t="s">
        <v>42</v>
      </c>
      <c r="C790" t="s">
        <v>43</v>
      </c>
      <c r="D790" s="3">
        <v>20000</v>
      </c>
      <c r="E790" s="3" t="s">
        <v>45</v>
      </c>
      <c r="F790">
        <v>2</v>
      </c>
      <c r="G790" t="s">
        <v>32</v>
      </c>
      <c r="H790" t="s">
        <v>22</v>
      </c>
      <c r="I790" t="s">
        <v>7</v>
      </c>
      <c r="J790">
        <v>2</v>
      </c>
      <c r="K790" t="s">
        <v>29</v>
      </c>
      <c r="L790" t="s">
        <v>35</v>
      </c>
      <c r="M790" t="s">
        <v>51</v>
      </c>
      <c r="N790" t="s">
        <v>20</v>
      </c>
    </row>
    <row r="791" spans="1:14">
      <c r="A791">
        <v>22221</v>
      </c>
      <c r="B791" t="s">
        <v>41</v>
      </c>
      <c r="C791" t="s">
        <v>44</v>
      </c>
      <c r="D791" s="3">
        <v>60000</v>
      </c>
      <c r="E791" s="3" t="s">
        <v>46</v>
      </c>
      <c r="F791">
        <v>2</v>
      </c>
      <c r="G791" t="s">
        <v>30</v>
      </c>
      <c r="H791" t="s">
        <v>23</v>
      </c>
      <c r="I791" t="s">
        <v>48</v>
      </c>
      <c r="J791">
        <v>2</v>
      </c>
      <c r="K791" t="s">
        <v>29</v>
      </c>
      <c r="L791" t="s">
        <v>35</v>
      </c>
      <c r="M791" t="s">
        <v>51</v>
      </c>
      <c r="N791" t="s">
        <v>17</v>
      </c>
    </row>
    <row r="792" spans="1:14">
      <c r="A792">
        <v>28228</v>
      </c>
      <c r="B792" t="s">
        <v>42</v>
      </c>
      <c r="C792" t="s">
        <v>43</v>
      </c>
      <c r="D792" s="3">
        <v>80000</v>
      </c>
      <c r="E792" s="3" t="s">
        <v>46</v>
      </c>
      <c r="F792">
        <v>2</v>
      </c>
      <c r="G792" t="s">
        <v>32</v>
      </c>
      <c r="H792" t="s">
        <v>16</v>
      </c>
      <c r="I792" t="s">
        <v>48</v>
      </c>
      <c r="J792">
        <v>2</v>
      </c>
      <c r="K792" t="s">
        <v>29</v>
      </c>
      <c r="L792" t="s">
        <v>35</v>
      </c>
      <c r="M792" t="s">
        <v>51</v>
      </c>
      <c r="N792" t="s">
        <v>20</v>
      </c>
    </row>
    <row r="793" spans="1:14">
      <c r="A793">
        <v>18363</v>
      </c>
      <c r="B793" t="s">
        <v>41</v>
      </c>
      <c r="C793" t="s">
        <v>44</v>
      </c>
      <c r="D793" s="3">
        <v>40000</v>
      </c>
      <c r="E793" s="3" t="s">
        <v>45</v>
      </c>
      <c r="F793">
        <v>0</v>
      </c>
      <c r="G793" t="s">
        <v>30</v>
      </c>
      <c r="H793" t="s">
        <v>16</v>
      </c>
      <c r="I793" t="s">
        <v>7</v>
      </c>
      <c r="J793">
        <v>2</v>
      </c>
      <c r="K793" t="s">
        <v>26</v>
      </c>
      <c r="L793" t="s">
        <v>35</v>
      </c>
      <c r="M793" t="s">
        <v>52</v>
      </c>
      <c r="N793" t="s">
        <v>17</v>
      </c>
    </row>
    <row r="794" spans="1:14">
      <c r="A794">
        <v>23256</v>
      </c>
      <c r="B794" t="s">
        <v>42</v>
      </c>
      <c r="C794" t="s">
        <v>44</v>
      </c>
      <c r="D794" s="3">
        <v>30000</v>
      </c>
      <c r="E794" s="3" t="s">
        <v>45</v>
      </c>
      <c r="F794">
        <v>1</v>
      </c>
      <c r="G794" t="s">
        <v>30</v>
      </c>
      <c r="H794" t="s">
        <v>22</v>
      </c>
      <c r="I794" t="s">
        <v>48</v>
      </c>
      <c r="J794">
        <v>1</v>
      </c>
      <c r="K794" t="s">
        <v>26</v>
      </c>
      <c r="L794" t="s">
        <v>35</v>
      </c>
      <c r="M794" t="s">
        <v>51</v>
      </c>
      <c r="N794" t="s">
        <v>20</v>
      </c>
    </row>
    <row r="795" spans="1:14">
      <c r="A795">
        <v>12768</v>
      </c>
      <c r="B795" t="s">
        <v>41</v>
      </c>
      <c r="C795" t="s">
        <v>44</v>
      </c>
      <c r="D795" s="3">
        <v>30000</v>
      </c>
      <c r="E795" s="3" t="s">
        <v>45</v>
      </c>
      <c r="F795">
        <v>1</v>
      </c>
      <c r="G795" t="s">
        <v>30</v>
      </c>
      <c r="H795" t="s">
        <v>22</v>
      </c>
      <c r="I795" t="s">
        <v>7</v>
      </c>
      <c r="J795">
        <v>1</v>
      </c>
      <c r="K795" t="s">
        <v>24</v>
      </c>
      <c r="L795" t="s">
        <v>35</v>
      </c>
      <c r="M795" t="s">
        <v>51</v>
      </c>
      <c r="N795" t="s">
        <v>17</v>
      </c>
    </row>
    <row r="796" spans="1:14">
      <c r="A796">
        <v>20361</v>
      </c>
      <c r="B796" t="s">
        <v>41</v>
      </c>
      <c r="C796" t="s">
        <v>44</v>
      </c>
      <c r="D796" s="3">
        <v>50000</v>
      </c>
      <c r="E796" s="3" t="s">
        <v>45</v>
      </c>
      <c r="F796">
        <v>2</v>
      </c>
      <c r="G796" t="s">
        <v>34</v>
      </c>
      <c r="H796" t="s">
        <v>31</v>
      </c>
      <c r="I796" t="s">
        <v>7</v>
      </c>
      <c r="J796">
        <v>2</v>
      </c>
      <c r="K796" t="s">
        <v>26</v>
      </c>
      <c r="L796" t="s">
        <v>35</v>
      </c>
      <c r="M796" t="s">
        <v>53</v>
      </c>
      <c r="N796" t="s">
        <v>20</v>
      </c>
    </row>
    <row r="797" spans="1:14">
      <c r="A797">
        <v>21306</v>
      </c>
      <c r="B797" t="s">
        <v>42</v>
      </c>
      <c r="C797" t="s">
        <v>44</v>
      </c>
      <c r="D797" s="3">
        <v>60000</v>
      </c>
      <c r="E797" s="3" t="s">
        <v>46</v>
      </c>
      <c r="F797">
        <v>2</v>
      </c>
      <c r="G797" t="s">
        <v>30</v>
      </c>
      <c r="H797" t="s">
        <v>23</v>
      </c>
      <c r="I797" t="s">
        <v>7</v>
      </c>
      <c r="J797">
        <v>2</v>
      </c>
      <c r="K797" t="s">
        <v>26</v>
      </c>
      <c r="L797" t="s">
        <v>35</v>
      </c>
      <c r="M797" t="s">
        <v>51</v>
      </c>
      <c r="N797" t="s">
        <v>20</v>
      </c>
    </row>
    <row r="798" spans="1:14">
      <c r="A798">
        <v>13382</v>
      </c>
      <c r="B798" t="s">
        <v>41</v>
      </c>
      <c r="C798" t="s">
        <v>44</v>
      </c>
      <c r="D798" s="3">
        <v>70000</v>
      </c>
      <c r="E798" s="3" t="s">
        <v>46</v>
      </c>
      <c r="F798">
        <v>5</v>
      </c>
      <c r="G798" t="s">
        <v>21</v>
      </c>
      <c r="H798" t="s">
        <v>23</v>
      </c>
      <c r="I798" t="s">
        <v>7</v>
      </c>
      <c r="J798">
        <v>2</v>
      </c>
      <c r="K798" t="s">
        <v>29</v>
      </c>
      <c r="L798" t="s">
        <v>35</v>
      </c>
      <c r="M798" t="s">
        <v>50</v>
      </c>
      <c r="N798" t="s">
        <v>17</v>
      </c>
    </row>
    <row r="799" spans="1:14">
      <c r="A799">
        <v>20310</v>
      </c>
      <c r="B799" t="s">
        <v>42</v>
      </c>
      <c r="C799" t="s">
        <v>44</v>
      </c>
      <c r="D799" s="3">
        <v>60000</v>
      </c>
      <c r="E799" s="3" t="s">
        <v>46</v>
      </c>
      <c r="F799">
        <v>0</v>
      </c>
      <c r="G799" t="s">
        <v>21</v>
      </c>
      <c r="H799" t="s">
        <v>16</v>
      </c>
      <c r="I799" t="s">
        <v>7</v>
      </c>
      <c r="J799">
        <v>1</v>
      </c>
      <c r="K799" t="s">
        <v>26</v>
      </c>
      <c r="L799" t="s">
        <v>35</v>
      </c>
      <c r="M799" t="s">
        <v>52</v>
      </c>
      <c r="N799" t="s">
        <v>17</v>
      </c>
    </row>
    <row r="800" spans="1:14">
      <c r="A800">
        <v>22971</v>
      </c>
      <c r="B800" t="s">
        <v>42</v>
      </c>
      <c r="C800" t="s">
        <v>43</v>
      </c>
      <c r="D800" s="3">
        <v>30000</v>
      </c>
      <c r="E800" s="3" t="s">
        <v>45</v>
      </c>
      <c r="F800">
        <v>0</v>
      </c>
      <c r="G800" t="s">
        <v>30</v>
      </c>
      <c r="H800" t="s">
        <v>16</v>
      </c>
      <c r="I800" t="s">
        <v>48</v>
      </c>
      <c r="J800">
        <v>2</v>
      </c>
      <c r="K800" t="s">
        <v>18</v>
      </c>
      <c r="L800" t="s">
        <v>35</v>
      </c>
      <c r="M800" t="s">
        <v>52</v>
      </c>
      <c r="N800" t="s">
        <v>17</v>
      </c>
    </row>
    <row r="801" spans="1:14">
      <c r="A801">
        <v>15287</v>
      </c>
      <c r="B801" t="s">
        <v>42</v>
      </c>
      <c r="C801" t="s">
        <v>43</v>
      </c>
      <c r="D801" s="3">
        <v>50000</v>
      </c>
      <c r="E801" s="3" t="s">
        <v>45</v>
      </c>
      <c r="F801">
        <v>1</v>
      </c>
      <c r="G801" t="s">
        <v>34</v>
      </c>
      <c r="H801" t="s">
        <v>16</v>
      </c>
      <c r="I801" t="s">
        <v>7</v>
      </c>
      <c r="J801">
        <v>0</v>
      </c>
      <c r="K801" t="s">
        <v>29</v>
      </c>
      <c r="L801" t="s">
        <v>35</v>
      </c>
      <c r="M801" t="s">
        <v>52</v>
      </c>
      <c r="N801" t="s">
        <v>17</v>
      </c>
    </row>
    <row r="802" spans="1:14">
      <c r="A802">
        <v>15532</v>
      </c>
      <c r="B802" t="s">
        <v>42</v>
      </c>
      <c r="C802" t="s">
        <v>44</v>
      </c>
      <c r="D802" s="3">
        <v>60000</v>
      </c>
      <c r="E802" s="3" t="s">
        <v>46</v>
      </c>
      <c r="F802">
        <v>4</v>
      </c>
      <c r="G802" t="s">
        <v>15</v>
      </c>
      <c r="H802" t="s">
        <v>23</v>
      </c>
      <c r="I802" t="s">
        <v>7</v>
      </c>
      <c r="J802">
        <v>2</v>
      </c>
      <c r="K802" t="s">
        <v>24</v>
      </c>
      <c r="L802" t="s">
        <v>35</v>
      </c>
      <c r="M802" t="s">
        <v>49</v>
      </c>
      <c r="N802" t="s">
        <v>17</v>
      </c>
    </row>
    <row r="803" spans="1:14">
      <c r="A803">
        <v>11255</v>
      </c>
      <c r="B803" t="s">
        <v>41</v>
      </c>
      <c r="C803" t="s">
        <v>44</v>
      </c>
      <c r="D803" s="3">
        <v>70000</v>
      </c>
      <c r="E803" s="3" t="s">
        <v>46</v>
      </c>
      <c r="F803">
        <v>4</v>
      </c>
      <c r="G803" t="s">
        <v>34</v>
      </c>
      <c r="H803" t="s">
        <v>31</v>
      </c>
      <c r="I803" t="s">
        <v>7</v>
      </c>
      <c r="J803">
        <v>2</v>
      </c>
      <c r="K803" t="s">
        <v>26</v>
      </c>
      <c r="L803" t="s">
        <v>35</v>
      </c>
      <c r="M803" t="s">
        <v>53</v>
      </c>
      <c r="N803" t="s">
        <v>20</v>
      </c>
    </row>
    <row r="804" spans="1:14">
      <c r="A804">
        <v>28090</v>
      </c>
      <c r="B804" t="s">
        <v>41</v>
      </c>
      <c r="C804" t="s">
        <v>44</v>
      </c>
      <c r="D804" s="3">
        <v>40000</v>
      </c>
      <c r="E804" s="3" t="s">
        <v>45</v>
      </c>
      <c r="F804">
        <v>0</v>
      </c>
      <c r="G804" t="s">
        <v>21</v>
      </c>
      <c r="H804" t="s">
        <v>16</v>
      </c>
      <c r="I804" t="s">
        <v>7</v>
      </c>
      <c r="J804">
        <v>1</v>
      </c>
      <c r="K804" t="s">
        <v>26</v>
      </c>
      <c r="L804" t="s">
        <v>35</v>
      </c>
      <c r="M804" t="s">
        <v>52</v>
      </c>
      <c r="N804" t="s">
        <v>20</v>
      </c>
    </row>
    <row r="805" spans="1:14">
      <c r="A805">
        <v>15255</v>
      </c>
      <c r="B805" t="s">
        <v>41</v>
      </c>
      <c r="C805" t="s">
        <v>44</v>
      </c>
      <c r="D805" s="3">
        <v>40000</v>
      </c>
      <c r="E805" s="3" t="s">
        <v>45</v>
      </c>
      <c r="F805">
        <v>0</v>
      </c>
      <c r="G805" t="s">
        <v>30</v>
      </c>
      <c r="H805" t="s">
        <v>16</v>
      </c>
      <c r="I805" t="s">
        <v>7</v>
      </c>
      <c r="J805">
        <v>2</v>
      </c>
      <c r="K805" t="s">
        <v>26</v>
      </c>
      <c r="L805" t="s">
        <v>35</v>
      </c>
      <c r="M805" t="s">
        <v>52</v>
      </c>
      <c r="N805" t="s">
        <v>17</v>
      </c>
    </row>
    <row r="806" spans="1:14">
      <c r="A806">
        <v>13154</v>
      </c>
      <c r="B806" t="s">
        <v>41</v>
      </c>
      <c r="C806" t="s">
        <v>44</v>
      </c>
      <c r="D806" s="3">
        <v>40000</v>
      </c>
      <c r="E806" s="3" t="s">
        <v>45</v>
      </c>
      <c r="F806">
        <v>0</v>
      </c>
      <c r="G806" t="s">
        <v>30</v>
      </c>
      <c r="H806" t="s">
        <v>16</v>
      </c>
      <c r="I806" t="s">
        <v>48</v>
      </c>
      <c r="J806">
        <v>2</v>
      </c>
      <c r="K806" t="s">
        <v>18</v>
      </c>
      <c r="L806" t="s">
        <v>35</v>
      </c>
      <c r="M806" t="s">
        <v>52</v>
      </c>
      <c r="N806" t="s">
        <v>17</v>
      </c>
    </row>
    <row r="807" spans="1:14">
      <c r="A807">
        <v>26778</v>
      </c>
      <c r="B807" t="s">
        <v>42</v>
      </c>
      <c r="C807" t="s">
        <v>43</v>
      </c>
      <c r="D807" s="3">
        <v>40000</v>
      </c>
      <c r="E807" s="3" t="s">
        <v>45</v>
      </c>
      <c r="F807">
        <v>0</v>
      </c>
      <c r="G807" t="s">
        <v>30</v>
      </c>
      <c r="H807" t="s">
        <v>16</v>
      </c>
      <c r="I807" t="s">
        <v>7</v>
      </c>
      <c r="J807">
        <v>2</v>
      </c>
      <c r="K807" t="s">
        <v>26</v>
      </c>
      <c r="L807" t="s">
        <v>35</v>
      </c>
      <c r="M807" t="s">
        <v>52</v>
      </c>
      <c r="N807" t="s">
        <v>20</v>
      </c>
    </row>
    <row r="808" spans="1:14">
      <c r="A808">
        <v>23248</v>
      </c>
      <c r="B808" t="s">
        <v>41</v>
      </c>
      <c r="C808" t="s">
        <v>43</v>
      </c>
      <c r="D808" s="3">
        <v>10000</v>
      </c>
      <c r="E808" s="3" t="s">
        <v>45</v>
      </c>
      <c r="F808">
        <v>2</v>
      </c>
      <c r="G808" t="s">
        <v>30</v>
      </c>
      <c r="H808" t="s">
        <v>28</v>
      </c>
      <c r="I808" t="s">
        <v>7</v>
      </c>
      <c r="J808">
        <v>2</v>
      </c>
      <c r="K808" t="s">
        <v>29</v>
      </c>
      <c r="L808" t="s">
        <v>35</v>
      </c>
      <c r="M808" t="s">
        <v>51</v>
      </c>
      <c r="N808" t="s">
        <v>20</v>
      </c>
    </row>
    <row r="809" spans="1:14">
      <c r="A809">
        <v>21417</v>
      </c>
      <c r="B809" t="s">
        <v>42</v>
      </c>
      <c r="C809" t="s">
        <v>43</v>
      </c>
      <c r="D809" s="3">
        <v>60000</v>
      </c>
      <c r="E809" s="3" t="s">
        <v>46</v>
      </c>
      <c r="F809">
        <v>0</v>
      </c>
      <c r="G809" t="s">
        <v>21</v>
      </c>
      <c r="H809" t="s">
        <v>23</v>
      </c>
      <c r="I809" t="s">
        <v>48</v>
      </c>
      <c r="J809">
        <v>2</v>
      </c>
      <c r="K809" t="s">
        <v>29</v>
      </c>
      <c r="L809" t="s">
        <v>35</v>
      </c>
      <c r="M809" t="s">
        <v>52</v>
      </c>
      <c r="N809" t="s">
        <v>17</v>
      </c>
    </row>
    <row r="810" spans="1:14">
      <c r="A810">
        <v>17668</v>
      </c>
      <c r="B810" t="s">
        <v>42</v>
      </c>
      <c r="C810" t="s">
        <v>44</v>
      </c>
      <c r="D810" s="3">
        <v>30000</v>
      </c>
      <c r="E810" s="3" t="s">
        <v>45</v>
      </c>
      <c r="F810">
        <v>2</v>
      </c>
      <c r="G810" t="s">
        <v>30</v>
      </c>
      <c r="H810" t="s">
        <v>16</v>
      </c>
      <c r="I810" t="s">
        <v>7</v>
      </c>
      <c r="J810">
        <v>2</v>
      </c>
      <c r="K810" t="s">
        <v>29</v>
      </c>
      <c r="L810" t="s">
        <v>35</v>
      </c>
      <c r="M810" t="s">
        <v>51</v>
      </c>
      <c r="N810" t="s">
        <v>17</v>
      </c>
    </row>
    <row r="811" spans="1:14">
      <c r="A811">
        <v>27994</v>
      </c>
      <c r="B811" t="s">
        <v>41</v>
      </c>
      <c r="C811" t="s">
        <v>43</v>
      </c>
      <c r="D811" s="3">
        <v>40000</v>
      </c>
      <c r="E811" s="3" t="s">
        <v>45</v>
      </c>
      <c r="F811">
        <v>4</v>
      </c>
      <c r="G811" t="s">
        <v>30</v>
      </c>
      <c r="H811" t="s">
        <v>23</v>
      </c>
      <c r="I811" t="s">
        <v>7</v>
      </c>
      <c r="J811">
        <v>2</v>
      </c>
      <c r="K811" t="s">
        <v>26</v>
      </c>
      <c r="L811" t="s">
        <v>35</v>
      </c>
      <c r="M811" t="s">
        <v>53</v>
      </c>
      <c r="N811" t="s">
        <v>20</v>
      </c>
    </row>
    <row r="812" spans="1:14">
      <c r="A812">
        <v>20376</v>
      </c>
      <c r="B812" t="s">
        <v>42</v>
      </c>
      <c r="C812" t="s">
        <v>43</v>
      </c>
      <c r="D812" s="3">
        <v>70000</v>
      </c>
      <c r="E812" s="3" t="s">
        <v>46</v>
      </c>
      <c r="F812">
        <v>3</v>
      </c>
      <c r="G812" t="s">
        <v>34</v>
      </c>
      <c r="H812" t="s">
        <v>31</v>
      </c>
      <c r="I812" t="s">
        <v>7</v>
      </c>
      <c r="J812">
        <v>2</v>
      </c>
      <c r="K812" t="s">
        <v>26</v>
      </c>
      <c r="L812" t="s">
        <v>35</v>
      </c>
      <c r="M812" t="s">
        <v>51</v>
      </c>
      <c r="N812" t="s">
        <v>17</v>
      </c>
    </row>
    <row r="813" spans="1:14">
      <c r="A813">
        <v>25954</v>
      </c>
      <c r="B813" t="s">
        <v>41</v>
      </c>
      <c r="C813" t="s">
        <v>44</v>
      </c>
      <c r="D813" s="3">
        <v>60000</v>
      </c>
      <c r="E813" s="3" t="s">
        <v>46</v>
      </c>
      <c r="F813">
        <v>0</v>
      </c>
      <c r="G813" t="s">
        <v>21</v>
      </c>
      <c r="H813" t="s">
        <v>16</v>
      </c>
      <c r="I813" t="s">
        <v>48</v>
      </c>
      <c r="J813">
        <v>2</v>
      </c>
      <c r="K813" t="s">
        <v>29</v>
      </c>
      <c r="L813" t="s">
        <v>35</v>
      </c>
      <c r="M813" t="s">
        <v>52</v>
      </c>
      <c r="N813" t="s">
        <v>20</v>
      </c>
    </row>
    <row r="814" spans="1:14">
      <c r="A814">
        <v>15749</v>
      </c>
      <c r="B814" t="s">
        <v>42</v>
      </c>
      <c r="C814" t="s">
        <v>43</v>
      </c>
      <c r="D814" s="3">
        <v>70000</v>
      </c>
      <c r="E814" s="3" t="s">
        <v>46</v>
      </c>
      <c r="F814">
        <v>4</v>
      </c>
      <c r="G814" t="s">
        <v>15</v>
      </c>
      <c r="H814" t="s">
        <v>31</v>
      </c>
      <c r="I814" t="s">
        <v>7</v>
      </c>
      <c r="J814">
        <v>2</v>
      </c>
      <c r="K814" t="s">
        <v>33</v>
      </c>
      <c r="L814" t="s">
        <v>35</v>
      </c>
      <c r="M814" t="s">
        <v>50</v>
      </c>
      <c r="N814" t="s">
        <v>20</v>
      </c>
    </row>
    <row r="815" spans="1:14">
      <c r="A815">
        <v>25899</v>
      </c>
      <c r="B815" t="s">
        <v>41</v>
      </c>
      <c r="C815" t="s">
        <v>43</v>
      </c>
      <c r="D815" s="3">
        <v>70000</v>
      </c>
      <c r="E815" s="3" t="s">
        <v>46</v>
      </c>
      <c r="F815">
        <v>2</v>
      </c>
      <c r="G815" t="s">
        <v>30</v>
      </c>
      <c r="H815" t="s">
        <v>23</v>
      </c>
      <c r="I815" t="s">
        <v>7</v>
      </c>
      <c r="J815">
        <v>2</v>
      </c>
      <c r="K815" t="s">
        <v>33</v>
      </c>
      <c r="L815" t="s">
        <v>35</v>
      </c>
      <c r="M815" t="s">
        <v>51</v>
      </c>
      <c r="N815" t="s">
        <v>20</v>
      </c>
    </row>
    <row r="816" spans="1:14">
      <c r="A816">
        <v>13351</v>
      </c>
      <c r="B816" t="s">
        <v>42</v>
      </c>
      <c r="C816" t="s">
        <v>43</v>
      </c>
      <c r="D816" s="3">
        <v>70000</v>
      </c>
      <c r="E816" s="3" t="s">
        <v>46</v>
      </c>
      <c r="F816">
        <v>4</v>
      </c>
      <c r="G816" t="s">
        <v>15</v>
      </c>
      <c r="H816" t="s">
        <v>31</v>
      </c>
      <c r="I816" t="s">
        <v>7</v>
      </c>
      <c r="J816">
        <v>2</v>
      </c>
      <c r="K816" t="s">
        <v>29</v>
      </c>
      <c r="L816" t="s">
        <v>35</v>
      </c>
      <c r="M816" t="s">
        <v>50</v>
      </c>
      <c r="N816" t="s">
        <v>17</v>
      </c>
    </row>
    <row r="817" spans="1:14">
      <c r="A817">
        <v>23333</v>
      </c>
      <c r="B817" t="s">
        <v>41</v>
      </c>
      <c r="C817" t="s">
        <v>44</v>
      </c>
      <c r="D817" s="3">
        <v>40000</v>
      </c>
      <c r="E817" s="3" t="s">
        <v>45</v>
      </c>
      <c r="F817">
        <v>0</v>
      </c>
      <c r="G817" t="s">
        <v>21</v>
      </c>
      <c r="H817" t="s">
        <v>16</v>
      </c>
      <c r="I817" t="s">
        <v>48</v>
      </c>
      <c r="J817">
        <v>2</v>
      </c>
      <c r="K817" t="s">
        <v>29</v>
      </c>
      <c r="L817" t="s">
        <v>35</v>
      </c>
      <c r="M817" t="s">
        <v>52</v>
      </c>
      <c r="N817" t="s">
        <v>20</v>
      </c>
    </row>
    <row r="818" spans="1:14">
      <c r="A818">
        <v>21660</v>
      </c>
      <c r="B818" t="s">
        <v>41</v>
      </c>
      <c r="C818" t="s">
        <v>43</v>
      </c>
      <c r="D818" s="3">
        <v>60000</v>
      </c>
      <c r="E818" s="3" t="s">
        <v>46</v>
      </c>
      <c r="F818">
        <v>3</v>
      </c>
      <c r="G818" t="s">
        <v>34</v>
      </c>
      <c r="H818" t="s">
        <v>23</v>
      </c>
      <c r="I818" t="s">
        <v>7</v>
      </c>
      <c r="J818">
        <v>0</v>
      </c>
      <c r="K818" t="s">
        <v>24</v>
      </c>
      <c r="L818" t="s">
        <v>35</v>
      </c>
      <c r="M818" t="s">
        <v>49</v>
      </c>
      <c r="N818" t="s">
        <v>17</v>
      </c>
    </row>
    <row r="819" spans="1:14">
      <c r="A819">
        <v>17012</v>
      </c>
      <c r="B819" t="s">
        <v>41</v>
      </c>
      <c r="C819" t="s">
        <v>43</v>
      </c>
      <c r="D819" s="3">
        <v>60000</v>
      </c>
      <c r="E819" s="3" t="s">
        <v>46</v>
      </c>
      <c r="F819">
        <v>3</v>
      </c>
      <c r="G819" t="s">
        <v>34</v>
      </c>
      <c r="H819" t="s">
        <v>23</v>
      </c>
      <c r="I819" t="s">
        <v>7</v>
      </c>
      <c r="J819">
        <v>0</v>
      </c>
      <c r="K819" t="s">
        <v>24</v>
      </c>
      <c r="L819" t="s">
        <v>35</v>
      </c>
      <c r="M819" t="s">
        <v>49</v>
      </c>
      <c r="N819" t="s">
        <v>17</v>
      </c>
    </row>
    <row r="820" spans="1:14">
      <c r="A820">
        <v>24514</v>
      </c>
      <c r="B820" t="s">
        <v>41</v>
      </c>
      <c r="C820" t="s">
        <v>44</v>
      </c>
      <c r="D820" s="3">
        <v>40000</v>
      </c>
      <c r="E820" s="3" t="s">
        <v>45</v>
      </c>
      <c r="F820">
        <v>0</v>
      </c>
      <c r="G820" t="s">
        <v>21</v>
      </c>
      <c r="H820" t="s">
        <v>16</v>
      </c>
      <c r="I820" t="s">
        <v>7</v>
      </c>
      <c r="J820">
        <v>1</v>
      </c>
      <c r="K820" t="s">
        <v>26</v>
      </c>
      <c r="L820" t="s">
        <v>35</v>
      </c>
      <c r="M820" t="s">
        <v>52</v>
      </c>
      <c r="N820" t="s">
        <v>20</v>
      </c>
    </row>
    <row r="821" spans="1:14">
      <c r="A821">
        <v>27505</v>
      </c>
      <c r="B821" t="s">
        <v>42</v>
      </c>
      <c r="C821" t="s">
        <v>43</v>
      </c>
      <c r="D821" s="3">
        <v>40000</v>
      </c>
      <c r="E821" s="3" t="s">
        <v>45</v>
      </c>
      <c r="F821">
        <v>0</v>
      </c>
      <c r="G821" t="s">
        <v>30</v>
      </c>
      <c r="H821" t="s">
        <v>16</v>
      </c>
      <c r="I821" t="s">
        <v>7</v>
      </c>
      <c r="J821">
        <v>2</v>
      </c>
      <c r="K821" t="s">
        <v>26</v>
      </c>
      <c r="L821" t="s">
        <v>35</v>
      </c>
      <c r="M821" t="s">
        <v>52</v>
      </c>
      <c r="N821" t="s">
        <v>20</v>
      </c>
    </row>
    <row r="822" spans="1:14">
      <c r="A822">
        <v>29243</v>
      </c>
      <c r="B822" t="s">
        <v>42</v>
      </c>
      <c r="C822" t="s">
        <v>44</v>
      </c>
      <c r="D822" s="3">
        <v>110000</v>
      </c>
      <c r="E822" s="3" t="s">
        <v>46</v>
      </c>
      <c r="F822">
        <v>1</v>
      </c>
      <c r="G822" t="s">
        <v>15</v>
      </c>
      <c r="H822" t="s">
        <v>31</v>
      </c>
      <c r="I822" t="s">
        <v>7</v>
      </c>
      <c r="J822">
        <v>1</v>
      </c>
      <c r="K822" t="s">
        <v>26</v>
      </c>
      <c r="L822" t="s">
        <v>35</v>
      </c>
      <c r="M822" t="s">
        <v>49</v>
      </c>
      <c r="N822" t="s">
        <v>20</v>
      </c>
    </row>
    <row r="823" spans="1:14">
      <c r="A823">
        <v>26582</v>
      </c>
      <c r="B823" t="s">
        <v>41</v>
      </c>
      <c r="C823" t="s">
        <v>44</v>
      </c>
      <c r="D823" s="3">
        <v>60000</v>
      </c>
      <c r="E823" s="3" t="s">
        <v>46</v>
      </c>
      <c r="F823">
        <v>0</v>
      </c>
      <c r="G823" t="s">
        <v>21</v>
      </c>
      <c r="H823" t="s">
        <v>16</v>
      </c>
      <c r="I823" t="s">
        <v>7</v>
      </c>
      <c r="J823">
        <v>2</v>
      </c>
      <c r="K823" t="s">
        <v>26</v>
      </c>
      <c r="L823" t="s">
        <v>35</v>
      </c>
      <c r="M823" t="s">
        <v>52</v>
      </c>
      <c r="N823" t="s">
        <v>17</v>
      </c>
    </row>
    <row r="824" spans="1:14">
      <c r="A824">
        <v>14271</v>
      </c>
      <c r="B824" t="s">
        <v>41</v>
      </c>
      <c r="C824" t="s">
        <v>44</v>
      </c>
      <c r="D824" s="3">
        <v>30000</v>
      </c>
      <c r="E824" s="3" t="s">
        <v>45</v>
      </c>
      <c r="F824">
        <v>0</v>
      </c>
      <c r="G824" t="s">
        <v>30</v>
      </c>
      <c r="H824" t="s">
        <v>16</v>
      </c>
      <c r="I824" t="s">
        <v>7</v>
      </c>
      <c r="J824">
        <v>2</v>
      </c>
      <c r="K824" t="s">
        <v>26</v>
      </c>
      <c r="L824" t="s">
        <v>35</v>
      </c>
      <c r="M824" t="s">
        <v>52</v>
      </c>
      <c r="N824" t="s">
        <v>20</v>
      </c>
    </row>
    <row r="825" spans="1:14">
      <c r="A825">
        <v>23041</v>
      </c>
      <c r="B825" t="s">
        <v>42</v>
      </c>
      <c r="C825" t="s">
        <v>43</v>
      </c>
      <c r="D825" s="3">
        <v>70000</v>
      </c>
      <c r="E825" s="3" t="s">
        <v>46</v>
      </c>
      <c r="F825">
        <v>4</v>
      </c>
      <c r="G825" t="s">
        <v>30</v>
      </c>
      <c r="H825" t="s">
        <v>23</v>
      </c>
      <c r="I825" t="s">
        <v>7</v>
      </c>
      <c r="J825">
        <v>0</v>
      </c>
      <c r="K825" t="s">
        <v>26</v>
      </c>
      <c r="L825" t="s">
        <v>35</v>
      </c>
      <c r="M825" t="s">
        <v>51</v>
      </c>
      <c r="N825" t="s">
        <v>17</v>
      </c>
    </row>
    <row r="826" spans="1:14">
      <c r="A826">
        <v>29048</v>
      </c>
      <c r="B826" t="s">
        <v>42</v>
      </c>
      <c r="C826" t="s">
        <v>44</v>
      </c>
      <c r="D826" s="3">
        <v>110000</v>
      </c>
      <c r="E826" s="3" t="s">
        <v>46</v>
      </c>
      <c r="F826">
        <v>2</v>
      </c>
      <c r="G826" t="s">
        <v>15</v>
      </c>
      <c r="H826" t="s">
        <v>31</v>
      </c>
      <c r="I826" t="s">
        <v>48</v>
      </c>
      <c r="J826">
        <v>3</v>
      </c>
      <c r="K826" t="s">
        <v>18</v>
      </c>
      <c r="L826" t="s">
        <v>35</v>
      </c>
      <c r="M826" t="s">
        <v>49</v>
      </c>
      <c r="N826" t="s">
        <v>17</v>
      </c>
    </row>
    <row r="827" spans="1:14">
      <c r="A827">
        <v>24433</v>
      </c>
      <c r="B827" t="s">
        <v>41</v>
      </c>
      <c r="C827" t="s">
        <v>44</v>
      </c>
      <c r="D827" s="3">
        <v>70000</v>
      </c>
      <c r="E827" s="3" t="s">
        <v>46</v>
      </c>
      <c r="F827">
        <v>3</v>
      </c>
      <c r="G827" t="s">
        <v>30</v>
      </c>
      <c r="H827" t="s">
        <v>23</v>
      </c>
      <c r="I827" t="s">
        <v>48</v>
      </c>
      <c r="J827">
        <v>1</v>
      </c>
      <c r="K827" t="s">
        <v>29</v>
      </c>
      <c r="L827" t="s">
        <v>35</v>
      </c>
      <c r="M827" t="s">
        <v>51</v>
      </c>
      <c r="N827" t="s">
        <v>17</v>
      </c>
    </row>
    <row r="828" spans="1:14">
      <c r="A828">
        <v>15501</v>
      </c>
      <c r="B828" t="s">
        <v>41</v>
      </c>
      <c r="C828" t="s">
        <v>44</v>
      </c>
      <c r="D828" s="3">
        <v>70000</v>
      </c>
      <c r="E828" s="3" t="s">
        <v>46</v>
      </c>
      <c r="F828">
        <v>4</v>
      </c>
      <c r="G828" t="s">
        <v>34</v>
      </c>
      <c r="H828" t="s">
        <v>23</v>
      </c>
      <c r="I828" t="s">
        <v>7</v>
      </c>
      <c r="J828">
        <v>0</v>
      </c>
      <c r="K828" t="s">
        <v>24</v>
      </c>
      <c r="L828" t="s">
        <v>35</v>
      </c>
      <c r="M828" t="s">
        <v>49</v>
      </c>
      <c r="N828" t="s">
        <v>17</v>
      </c>
    </row>
    <row r="829" spans="1:14">
      <c r="A829">
        <v>13911</v>
      </c>
      <c r="B829" t="s">
        <v>42</v>
      </c>
      <c r="C829" t="s">
        <v>43</v>
      </c>
      <c r="D829" s="3">
        <v>80000</v>
      </c>
      <c r="E829" s="3" t="s">
        <v>46</v>
      </c>
      <c r="F829">
        <v>3</v>
      </c>
      <c r="G829" t="s">
        <v>15</v>
      </c>
      <c r="H829" t="s">
        <v>16</v>
      </c>
      <c r="I829" t="s">
        <v>7</v>
      </c>
      <c r="J829">
        <v>2</v>
      </c>
      <c r="K829" t="s">
        <v>24</v>
      </c>
      <c r="L829" t="s">
        <v>35</v>
      </c>
      <c r="M829" t="s">
        <v>49</v>
      </c>
      <c r="N829" t="s">
        <v>17</v>
      </c>
    </row>
    <row r="830" spans="1:14">
      <c r="A830">
        <v>20421</v>
      </c>
      <c r="B830" t="s">
        <v>42</v>
      </c>
      <c r="C830" t="s">
        <v>43</v>
      </c>
      <c r="D830" s="3">
        <v>40000</v>
      </c>
      <c r="E830" s="3" t="s">
        <v>45</v>
      </c>
      <c r="F830">
        <v>0</v>
      </c>
      <c r="G830" t="s">
        <v>32</v>
      </c>
      <c r="H830" t="s">
        <v>22</v>
      </c>
      <c r="I830" t="s">
        <v>7</v>
      </c>
      <c r="J830">
        <v>2</v>
      </c>
      <c r="K830" t="s">
        <v>26</v>
      </c>
      <c r="L830" t="s">
        <v>35</v>
      </c>
      <c r="M830" t="s">
        <v>52</v>
      </c>
      <c r="N830" t="s">
        <v>20</v>
      </c>
    </row>
    <row r="831" spans="1:14">
      <c r="A831">
        <v>16009</v>
      </c>
      <c r="B831" t="s">
        <v>42</v>
      </c>
      <c r="C831" t="s">
        <v>44</v>
      </c>
      <c r="D831" s="3">
        <v>170000</v>
      </c>
      <c r="E831" s="3" t="s">
        <v>47</v>
      </c>
      <c r="F831">
        <v>1</v>
      </c>
      <c r="G831" t="s">
        <v>34</v>
      </c>
      <c r="H831" t="s">
        <v>31</v>
      </c>
      <c r="I831" t="s">
        <v>48</v>
      </c>
      <c r="J831">
        <v>4</v>
      </c>
      <c r="K831" t="s">
        <v>18</v>
      </c>
      <c r="L831" t="s">
        <v>35</v>
      </c>
      <c r="M831" t="s">
        <v>53</v>
      </c>
      <c r="N831" t="s">
        <v>20</v>
      </c>
    </row>
    <row r="832" spans="1:14">
      <c r="A832">
        <v>18411</v>
      </c>
      <c r="B832" t="s">
        <v>41</v>
      </c>
      <c r="C832" t="s">
        <v>44</v>
      </c>
      <c r="D832" s="3">
        <v>60000</v>
      </c>
      <c r="E832" s="3" t="s">
        <v>46</v>
      </c>
      <c r="F832">
        <v>2</v>
      </c>
      <c r="G832" t="s">
        <v>30</v>
      </c>
      <c r="H832" t="s">
        <v>23</v>
      </c>
      <c r="I832" t="s">
        <v>48</v>
      </c>
      <c r="J832">
        <v>2</v>
      </c>
      <c r="K832" t="s">
        <v>26</v>
      </c>
      <c r="L832" t="s">
        <v>35</v>
      </c>
      <c r="M832" t="s">
        <v>51</v>
      </c>
      <c r="N832" t="s">
        <v>20</v>
      </c>
    </row>
    <row r="833" spans="1:14">
      <c r="A833">
        <v>19163</v>
      </c>
      <c r="B833" t="s">
        <v>41</v>
      </c>
      <c r="C833" t="s">
        <v>43</v>
      </c>
      <c r="D833" s="3">
        <v>70000</v>
      </c>
      <c r="E833" s="3" t="s">
        <v>46</v>
      </c>
      <c r="F833">
        <v>4</v>
      </c>
      <c r="G833" t="s">
        <v>15</v>
      </c>
      <c r="H833" t="s">
        <v>23</v>
      </c>
      <c r="I833" t="s">
        <v>7</v>
      </c>
      <c r="J833">
        <v>2</v>
      </c>
      <c r="K833" t="s">
        <v>18</v>
      </c>
      <c r="L833" t="s">
        <v>35</v>
      </c>
      <c r="M833" t="s">
        <v>49</v>
      </c>
      <c r="N833" t="s">
        <v>17</v>
      </c>
    </row>
    <row r="834" spans="1:14">
      <c r="A834">
        <v>18572</v>
      </c>
      <c r="B834" t="s">
        <v>41</v>
      </c>
      <c r="C834" t="s">
        <v>43</v>
      </c>
      <c r="D834" s="3">
        <v>60000</v>
      </c>
      <c r="E834" s="3" t="s">
        <v>46</v>
      </c>
      <c r="F834">
        <v>0</v>
      </c>
      <c r="G834" t="s">
        <v>34</v>
      </c>
      <c r="H834" t="s">
        <v>23</v>
      </c>
      <c r="I834" t="s">
        <v>7</v>
      </c>
      <c r="J834">
        <v>0</v>
      </c>
      <c r="K834" t="s">
        <v>18</v>
      </c>
      <c r="L834" t="s">
        <v>35</v>
      </c>
      <c r="M834" t="s">
        <v>49</v>
      </c>
      <c r="N834" t="s">
        <v>20</v>
      </c>
    </row>
    <row r="835" spans="1:14">
      <c r="A835">
        <v>27540</v>
      </c>
      <c r="B835" t="s">
        <v>42</v>
      </c>
      <c r="C835" t="s">
        <v>43</v>
      </c>
      <c r="D835" s="3">
        <v>70000</v>
      </c>
      <c r="E835" s="3" t="s">
        <v>46</v>
      </c>
      <c r="F835">
        <v>0</v>
      </c>
      <c r="G835" t="s">
        <v>15</v>
      </c>
      <c r="H835" t="s">
        <v>23</v>
      </c>
      <c r="I835" t="s">
        <v>48</v>
      </c>
      <c r="J835">
        <v>1</v>
      </c>
      <c r="K835" t="s">
        <v>18</v>
      </c>
      <c r="L835" t="s">
        <v>35</v>
      </c>
      <c r="M835" t="s">
        <v>49</v>
      </c>
      <c r="N835" t="s">
        <v>17</v>
      </c>
    </row>
    <row r="836" spans="1:14">
      <c r="A836">
        <v>19889</v>
      </c>
      <c r="B836" t="s">
        <v>42</v>
      </c>
      <c r="C836" t="s">
        <v>43</v>
      </c>
      <c r="D836" s="3">
        <v>70000</v>
      </c>
      <c r="E836" s="3" t="s">
        <v>46</v>
      </c>
      <c r="F836">
        <v>2</v>
      </c>
      <c r="G836" t="s">
        <v>32</v>
      </c>
      <c r="H836" t="s">
        <v>16</v>
      </c>
      <c r="I836" t="s">
        <v>48</v>
      </c>
      <c r="J836">
        <v>2</v>
      </c>
      <c r="K836" t="s">
        <v>24</v>
      </c>
      <c r="L836" t="s">
        <v>35</v>
      </c>
      <c r="M836" t="s">
        <v>51</v>
      </c>
      <c r="N836" t="s">
        <v>17</v>
      </c>
    </row>
    <row r="837" spans="1:14">
      <c r="A837">
        <v>12922</v>
      </c>
      <c r="B837" t="s">
        <v>42</v>
      </c>
      <c r="C837" t="s">
        <v>43</v>
      </c>
      <c r="D837" s="3">
        <v>60000</v>
      </c>
      <c r="E837" s="3" t="s">
        <v>46</v>
      </c>
      <c r="F837">
        <v>3</v>
      </c>
      <c r="G837" t="s">
        <v>15</v>
      </c>
      <c r="H837" t="s">
        <v>16</v>
      </c>
      <c r="I837" t="s">
        <v>7</v>
      </c>
      <c r="J837">
        <v>0</v>
      </c>
      <c r="K837" t="s">
        <v>24</v>
      </c>
      <c r="L837" t="s">
        <v>35</v>
      </c>
      <c r="M837" t="s">
        <v>49</v>
      </c>
      <c r="N837" t="s">
        <v>17</v>
      </c>
    </row>
    <row r="838" spans="1:14">
      <c r="A838">
        <v>18891</v>
      </c>
      <c r="B838" t="s">
        <v>41</v>
      </c>
      <c r="C838" t="s">
        <v>43</v>
      </c>
      <c r="D838" s="3">
        <v>40000</v>
      </c>
      <c r="E838" s="3" t="s">
        <v>45</v>
      </c>
      <c r="F838">
        <v>0</v>
      </c>
      <c r="G838" t="s">
        <v>21</v>
      </c>
      <c r="H838" t="s">
        <v>16</v>
      </c>
      <c r="I838" t="s">
        <v>7</v>
      </c>
      <c r="J838">
        <v>2</v>
      </c>
      <c r="K838" t="s">
        <v>26</v>
      </c>
      <c r="L838" t="s">
        <v>35</v>
      </c>
      <c r="M838" t="s">
        <v>52</v>
      </c>
      <c r="N838" t="s">
        <v>20</v>
      </c>
    </row>
    <row r="839" spans="1:14">
      <c r="A839">
        <v>16773</v>
      </c>
      <c r="B839" t="s">
        <v>41</v>
      </c>
      <c r="C839" t="s">
        <v>44</v>
      </c>
      <c r="D839" s="3">
        <v>60000</v>
      </c>
      <c r="E839" s="3" t="s">
        <v>46</v>
      </c>
      <c r="F839">
        <v>1</v>
      </c>
      <c r="G839" t="s">
        <v>34</v>
      </c>
      <c r="H839" t="s">
        <v>16</v>
      </c>
      <c r="I839" t="s">
        <v>7</v>
      </c>
      <c r="J839">
        <v>0</v>
      </c>
      <c r="K839" t="s">
        <v>18</v>
      </c>
      <c r="L839" t="s">
        <v>35</v>
      </c>
      <c r="M839" t="s">
        <v>52</v>
      </c>
      <c r="N839" t="s">
        <v>20</v>
      </c>
    </row>
    <row r="840" spans="1:14">
      <c r="A840">
        <v>19143</v>
      </c>
      <c r="B840" t="s">
        <v>42</v>
      </c>
      <c r="C840" t="s">
        <v>43</v>
      </c>
      <c r="D840" s="3">
        <v>80000</v>
      </c>
      <c r="E840" s="3" t="s">
        <v>46</v>
      </c>
      <c r="F840">
        <v>3</v>
      </c>
      <c r="G840" t="s">
        <v>15</v>
      </c>
      <c r="H840" t="s">
        <v>16</v>
      </c>
      <c r="I840" t="s">
        <v>7</v>
      </c>
      <c r="J840">
        <v>2</v>
      </c>
      <c r="K840" t="s">
        <v>24</v>
      </c>
      <c r="L840" t="s">
        <v>35</v>
      </c>
      <c r="M840" t="s">
        <v>49</v>
      </c>
      <c r="N840" t="s">
        <v>17</v>
      </c>
    </row>
    <row r="841" spans="1:14">
      <c r="A841">
        <v>23882</v>
      </c>
      <c r="B841" t="s">
        <v>42</v>
      </c>
      <c r="C841" t="s">
        <v>43</v>
      </c>
      <c r="D841" s="3">
        <v>80000</v>
      </c>
      <c r="E841" s="3" t="s">
        <v>46</v>
      </c>
      <c r="F841">
        <v>3</v>
      </c>
      <c r="G841" t="s">
        <v>34</v>
      </c>
      <c r="H841" t="s">
        <v>23</v>
      </c>
      <c r="I841" t="s">
        <v>7</v>
      </c>
      <c r="J841">
        <v>0</v>
      </c>
      <c r="K841" t="s">
        <v>18</v>
      </c>
      <c r="L841" t="s">
        <v>35</v>
      </c>
      <c r="M841" t="s">
        <v>49</v>
      </c>
      <c r="N841" t="s">
        <v>17</v>
      </c>
    </row>
    <row r="842" spans="1:14">
      <c r="A842">
        <v>11233</v>
      </c>
      <c r="B842" t="s">
        <v>41</v>
      </c>
      <c r="C842" t="s">
        <v>44</v>
      </c>
      <c r="D842" s="3">
        <v>70000</v>
      </c>
      <c r="E842" s="3" t="s">
        <v>46</v>
      </c>
      <c r="F842">
        <v>4</v>
      </c>
      <c r="G842" t="s">
        <v>21</v>
      </c>
      <c r="H842" t="s">
        <v>23</v>
      </c>
      <c r="I842" t="s">
        <v>7</v>
      </c>
      <c r="J842">
        <v>2</v>
      </c>
      <c r="K842" t="s">
        <v>33</v>
      </c>
      <c r="L842" t="s">
        <v>35</v>
      </c>
      <c r="M842" t="s">
        <v>51</v>
      </c>
      <c r="N842" t="s">
        <v>20</v>
      </c>
    </row>
    <row r="843" spans="1:14">
      <c r="A843">
        <v>12056</v>
      </c>
      <c r="B843" t="s">
        <v>41</v>
      </c>
      <c r="C843" t="s">
        <v>44</v>
      </c>
      <c r="D843" s="3">
        <v>120000</v>
      </c>
      <c r="E843" s="3" t="s">
        <v>47</v>
      </c>
      <c r="F843">
        <v>2</v>
      </c>
      <c r="G843" t="s">
        <v>34</v>
      </c>
      <c r="H843" t="s">
        <v>31</v>
      </c>
      <c r="I843" t="s">
        <v>7</v>
      </c>
      <c r="J843">
        <v>3</v>
      </c>
      <c r="K843" t="s">
        <v>26</v>
      </c>
      <c r="L843" t="s">
        <v>35</v>
      </c>
      <c r="M843" t="s">
        <v>50</v>
      </c>
      <c r="N843" t="s">
        <v>20</v>
      </c>
    </row>
    <row r="844" spans="1:14">
      <c r="A844">
        <v>15555</v>
      </c>
      <c r="B844" t="s">
        <v>41</v>
      </c>
      <c r="C844" t="s">
        <v>43</v>
      </c>
      <c r="D844" s="3">
        <v>60000</v>
      </c>
      <c r="E844" s="3" t="s">
        <v>46</v>
      </c>
      <c r="F844">
        <v>1</v>
      </c>
      <c r="G844" t="s">
        <v>21</v>
      </c>
      <c r="H844" t="s">
        <v>16</v>
      </c>
      <c r="I844" t="s">
        <v>7</v>
      </c>
      <c r="J844">
        <v>1</v>
      </c>
      <c r="K844" t="s">
        <v>24</v>
      </c>
      <c r="L844" t="s">
        <v>35</v>
      </c>
      <c r="M844" t="s">
        <v>51</v>
      </c>
      <c r="N844" t="s">
        <v>17</v>
      </c>
    </row>
    <row r="845" spans="1:14">
      <c r="A845">
        <v>18423</v>
      </c>
      <c r="B845" t="s">
        <v>42</v>
      </c>
      <c r="C845" t="s">
        <v>44</v>
      </c>
      <c r="D845" s="3">
        <v>80000</v>
      </c>
      <c r="E845" s="3" t="s">
        <v>46</v>
      </c>
      <c r="F845">
        <v>2</v>
      </c>
      <c r="G845" t="s">
        <v>32</v>
      </c>
      <c r="H845" t="s">
        <v>16</v>
      </c>
      <c r="I845" t="s">
        <v>48</v>
      </c>
      <c r="J845">
        <v>2</v>
      </c>
      <c r="K845" t="s">
        <v>29</v>
      </c>
      <c r="L845" t="s">
        <v>35</v>
      </c>
      <c r="M845" t="s">
        <v>51</v>
      </c>
      <c r="N845" t="s">
        <v>20</v>
      </c>
    </row>
    <row r="846" spans="1:14">
      <c r="A846">
        <v>22743</v>
      </c>
      <c r="B846" t="s">
        <v>41</v>
      </c>
      <c r="C846" t="s">
        <v>43</v>
      </c>
      <c r="D846" s="3">
        <v>40000</v>
      </c>
      <c r="E846" s="3" t="s">
        <v>45</v>
      </c>
      <c r="F846">
        <v>5</v>
      </c>
      <c r="G846" t="s">
        <v>30</v>
      </c>
      <c r="H846" t="s">
        <v>23</v>
      </c>
      <c r="I846" t="s">
        <v>7</v>
      </c>
      <c r="J846">
        <v>2</v>
      </c>
      <c r="K846" t="s">
        <v>33</v>
      </c>
      <c r="L846" t="s">
        <v>35</v>
      </c>
      <c r="M846" t="s">
        <v>50</v>
      </c>
      <c r="N846" t="s">
        <v>20</v>
      </c>
    </row>
    <row r="847" spans="1:14">
      <c r="A847">
        <v>25343</v>
      </c>
      <c r="B847" t="s">
        <v>42</v>
      </c>
      <c r="C847" t="s">
        <v>43</v>
      </c>
      <c r="D847" s="3">
        <v>20000</v>
      </c>
      <c r="E847" s="3" t="s">
        <v>45</v>
      </c>
      <c r="F847">
        <v>3</v>
      </c>
      <c r="G847" t="s">
        <v>32</v>
      </c>
      <c r="H847" t="s">
        <v>22</v>
      </c>
      <c r="I847" t="s">
        <v>7</v>
      </c>
      <c r="J847">
        <v>2</v>
      </c>
      <c r="K847" t="s">
        <v>29</v>
      </c>
      <c r="L847" t="s">
        <v>35</v>
      </c>
      <c r="M847" t="s">
        <v>51</v>
      </c>
      <c r="N847" t="s">
        <v>20</v>
      </c>
    </row>
    <row r="848" spans="1:14">
      <c r="A848">
        <v>13390</v>
      </c>
      <c r="B848" t="s">
        <v>41</v>
      </c>
      <c r="C848" t="s">
        <v>43</v>
      </c>
      <c r="D848" s="3">
        <v>70000</v>
      </c>
      <c r="E848" s="3" t="s">
        <v>46</v>
      </c>
      <c r="F848">
        <v>4</v>
      </c>
      <c r="G848" t="s">
        <v>21</v>
      </c>
      <c r="H848" t="s">
        <v>23</v>
      </c>
      <c r="I848" t="s">
        <v>48</v>
      </c>
      <c r="J848">
        <v>1</v>
      </c>
      <c r="K848" t="s">
        <v>29</v>
      </c>
      <c r="L848" t="s">
        <v>35</v>
      </c>
      <c r="M848" t="s">
        <v>50</v>
      </c>
      <c r="N848" t="s">
        <v>20</v>
      </c>
    </row>
    <row r="849" spans="1:14">
      <c r="A849">
        <v>17482</v>
      </c>
      <c r="B849" t="s">
        <v>42</v>
      </c>
      <c r="C849" t="s">
        <v>43</v>
      </c>
      <c r="D849" s="3">
        <v>40000</v>
      </c>
      <c r="E849" s="3" t="s">
        <v>45</v>
      </c>
      <c r="F849">
        <v>0</v>
      </c>
      <c r="G849" t="s">
        <v>32</v>
      </c>
      <c r="H849" t="s">
        <v>22</v>
      </c>
      <c r="I849" t="s">
        <v>7</v>
      </c>
      <c r="J849">
        <v>2</v>
      </c>
      <c r="K849" t="s">
        <v>26</v>
      </c>
      <c r="L849" t="s">
        <v>35</v>
      </c>
      <c r="M849" t="s">
        <v>52</v>
      </c>
      <c r="N849" t="s">
        <v>20</v>
      </c>
    </row>
    <row r="850" spans="1:14">
      <c r="A850">
        <v>13176</v>
      </c>
      <c r="B850" t="s">
        <v>42</v>
      </c>
      <c r="C850" t="s">
        <v>44</v>
      </c>
      <c r="D850" s="3">
        <v>130000</v>
      </c>
      <c r="E850" s="3" t="s">
        <v>47</v>
      </c>
      <c r="F850">
        <v>0</v>
      </c>
      <c r="G850" t="s">
        <v>34</v>
      </c>
      <c r="H850" t="s">
        <v>31</v>
      </c>
      <c r="I850" t="s">
        <v>48</v>
      </c>
      <c r="J850">
        <v>2</v>
      </c>
      <c r="K850" t="s">
        <v>18</v>
      </c>
      <c r="L850" t="s">
        <v>35</v>
      </c>
      <c r="M850" t="s">
        <v>49</v>
      </c>
      <c r="N850" t="s">
        <v>17</v>
      </c>
    </row>
    <row r="851" spans="1:14">
      <c r="A851">
        <v>20504</v>
      </c>
      <c r="B851" t="s">
        <v>41</v>
      </c>
      <c r="C851" t="s">
        <v>43</v>
      </c>
      <c r="D851" s="3">
        <v>40000</v>
      </c>
      <c r="E851" s="3" t="s">
        <v>45</v>
      </c>
      <c r="F851">
        <v>5</v>
      </c>
      <c r="G851" t="s">
        <v>30</v>
      </c>
      <c r="H851" t="s">
        <v>23</v>
      </c>
      <c r="I851" t="s">
        <v>48</v>
      </c>
      <c r="J851">
        <v>2</v>
      </c>
      <c r="K851" t="s">
        <v>24</v>
      </c>
      <c r="L851" t="s">
        <v>35</v>
      </c>
      <c r="M851" t="s">
        <v>50</v>
      </c>
      <c r="N851" t="s">
        <v>20</v>
      </c>
    </row>
    <row r="852" spans="1:14">
      <c r="A852">
        <v>12205</v>
      </c>
      <c r="B852" t="s">
        <v>42</v>
      </c>
      <c r="C852" t="s">
        <v>43</v>
      </c>
      <c r="D852" s="3">
        <v>130000</v>
      </c>
      <c r="E852" s="3" t="s">
        <v>47</v>
      </c>
      <c r="F852">
        <v>2</v>
      </c>
      <c r="G852" t="s">
        <v>15</v>
      </c>
      <c r="H852" t="s">
        <v>31</v>
      </c>
      <c r="I852" t="s">
        <v>48</v>
      </c>
      <c r="J852">
        <v>4</v>
      </c>
      <c r="K852" t="s">
        <v>18</v>
      </c>
      <c r="L852" t="s">
        <v>35</v>
      </c>
      <c r="M852" t="s">
        <v>53</v>
      </c>
      <c r="N852" t="s">
        <v>20</v>
      </c>
    </row>
    <row r="853" spans="1:14">
      <c r="A853">
        <v>16751</v>
      </c>
      <c r="B853" t="s">
        <v>41</v>
      </c>
      <c r="C853" t="s">
        <v>44</v>
      </c>
      <c r="D853" s="3">
        <v>60000</v>
      </c>
      <c r="E853" s="3" t="s">
        <v>46</v>
      </c>
      <c r="F853">
        <v>0</v>
      </c>
      <c r="G853" t="s">
        <v>21</v>
      </c>
      <c r="H853" t="s">
        <v>16</v>
      </c>
      <c r="I853" t="s">
        <v>7</v>
      </c>
      <c r="J853">
        <v>1</v>
      </c>
      <c r="K853" t="s">
        <v>26</v>
      </c>
      <c r="L853" t="s">
        <v>35</v>
      </c>
      <c r="M853" t="s">
        <v>52</v>
      </c>
      <c r="N853" t="s">
        <v>17</v>
      </c>
    </row>
    <row r="854" spans="1:14">
      <c r="A854">
        <v>21613</v>
      </c>
      <c r="B854" t="s">
        <v>42</v>
      </c>
      <c r="C854" t="s">
        <v>44</v>
      </c>
      <c r="D854" s="3">
        <v>50000</v>
      </c>
      <c r="E854" s="3" t="s">
        <v>45</v>
      </c>
      <c r="F854">
        <v>2</v>
      </c>
      <c r="G854" t="s">
        <v>15</v>
      </c>
      <c r="H854" t="s">
        <v>16</v>
      </c>
      <c r="I854" t="s">
        <v>48</v>
      </c>
      <c r="J854">
        <v>1</v>
      </c>
      <c r="K854" t="s">
        <v>18</v>
      </c>
      <c r="L854" t="s">
        <v>35</v>
      </c>
      <c r="M854" t="s">
        <v>49</v>
      </c>
      <c r="N854" t="s">
        <v>17</v>
      </c>
    </row>
    <row r="855" spans="1:14">
      <c r="A855">
        <v>24801</v>
      </c>
      <c r="B855" t="s">
        <v>42</v>
      </c>
      <c r="C855" t="s">
        <v>44</v>
      </c>
      <c r="D855" s="3">
        <v>60000</v>
      </c>
      <c r="E855" s="3" t="s">
        <v>46</v>
      </c>
      <c r="F855">
        <v>1</v>
      </c>
      <c r="G855" t="s">
        <v>34</v>
      </c>
      <c r="H855" t="s">
        <v>23</v>
      </c>
      <c r="I855" t="s">
        <v>7</v>
      </c>
      <c r="J855">
        <v>0</v>
      </c>
      <c r="K855" t="s">
        <v>24</v>
      </c>
      <c r="L855" t="s">
        <v>35</v>
      </c>
      <c r="M855" t="s">
        <v>49</v>
      </c>
      <c r="N855" t="s">
        <v>17</v>
      </c>
    </row>
    <row r="856" spans="1:14">
      <c r="A856">
        <v>17519</v>
      </c>
      <c r="B856" t="s">
        <v>41</v>
      </c>
      <c r="C856" t="s">
        <v>43</v>
      </c>
      <c r="D856" s="3">
        <v>60000</v>
      </c>
      <c r="E856" s="3" t="s">
        <v>46</v>
      </c>
      <c r="F856">
        <v>0</v>
      </c>
      <c r="G856" t="s">
        <v>21</v>
      </c>
      <c r="H856" t="s">
        <v>23</v>
      </c>
      <c r="I856" t="s">
        <v>7</v>
      </c>
      <c r="J856">
        <v>2</v>
      </c>
      <c r="K856" t="s">
        <v>26</v>
      </c>
      <c r="L856" t="s">
        <v>35</v>
      </c>
      <c r="M856" t="s">
        <v>52</v>
      </c>
      <c r="N856" t="s">
        <v>20</v>
      </c>
    </row>
    <row r="857" spans="1:14">
      <c r="A857">
        <v>18347</v>
      </c>
      <c r="B857" t="s">
        <v>42</v>
      </c>
      <c r="C857" t="s">
        <v>43</v>
      </c>
      <c r="D857" s="3">
        <v>30000</v>
      </c>
      <c r="E857" s="3" t="s">
        <v>45</v>
      </c>
      <c r="F857">
        <v>0</v>
      </c>
      <c r="G857" t="s">
        <v>21</v>
      </c>
      <c r="H857" t="s">
        <v>16</v>
      </c>
      <c r="I857" t="s">
        <v>48</v>
      </c>
      <c r="J857">
        <v>1</v>
      </c>
      <c r="K857" t="s">
        <v>29</v>
      </c>
      <c r="L857" t="s">
        <v>35</v>
      </c>
      <c r="M857" t="s">
        <v>52</v>
      </c>
      <c r="N857" t="s">
        <v>20</v>
      </c>
    </row>
    <row r="858" spans="1:14">
      <c r="A858">
        <v>29052</v>
      </c>
      <c r="B858" t="s">
        <v>42</v>
      </c>
      <c r="C858" t="s">
        <v>44</v>
      </c>
      <c r="D858" s="3">
        <v>40000</v>
      </c>
      <c r="E858" s="3" t="s">
        <v>45</v>
      </c>
      <c r="F858">
        <v>0</v>
      </c>
      <c r="G858" t="s">
        <v>21</v>
      </c>
      <c r="H858" t="s">
        <v>16</v>
      </c>
      <c r="I858" t="s">
        <v>7</v>
      </c>
      <c r="J858">
        <v>1</v>
      </c>
      <c r="K858" t="s">
        <v>26</v>
      </c>
      <c r="L858" t="s">
        <v>35</v>
      </c>
      <c r="M858" t="s">
        <v>52</v>
      </c>
      <c r="N858" t="s">
        <v>20</v>
      </c>
    </row>
    <row r="859" spans="1:14">
      <c r="A859">
        <v>11745</v>
      </c>
      <c r="B859" t="s">
        <v>41</v>
      </c>
      <c r="C859" t="s">
        <v>43</v>
      </c>
      <c r="D859" s="3">
        <v>60000</v>
      </c>
      <c r="E859" s="3" t="s">
        <v>46</v>
      </c>
      <c r="F859">
        <v>1</v>
      </c>
      <c r="G859" t="s">
        <v>15</v>
      </c>
      <c r="H859" t="s">
        <v>23</v>
      </c>
      <c r="I859" t="s">
        <v>7</v>
      </c>
      <c r="J859">
        <v>1</v>
      </c>
      <c r="K859" t="s">
        <v>18</v>
      </c>
      <c r="L859" t="s">
        <v>35</v>
      </c>
      <c r="M859" t="s">
        <v>51</v>
      </c>
      <c r="N859" t="s">
        <v>17</v>
      </c>
    </row>
    <row r="860" spans="1:14">
      <c r="A860">
        <v>19147</v>
      </c>
      <c r="B860" t="s">
        <v>41</v>
      </c>
      <c r="C860" t="s">
        <v>44</v>
      </c>
      <c r="D860" s="3">
        <v>40000</v>
      </c>
      <c r="E860" s="3" t="s">
        <v>45</v>
      </c>
      <c r="F860">
        <v>0</v>
      </c>
      <c r="G860" t="s">
        <v>15</v>
      </c>
      <c r="H860" t="s">
        <v>23</v>
      </c>
      <c r="I860" t="s">
        <v>48</v>
      </c>
      <c r="J860">
        <v>1</v>
      </c>
      <c r="K860" t="s">
        <v>18</v>
      </c>
      <c r="L860" t="s">
        <v>35</v>
      </c>
      <c r="M860" t="s">
        <v>49</v>
      </c>
      <c r="N860" t="s">
        <v>20</v>
      </c>
    </row>
    <row r="861" spans="1:14">
      <c r="A861">
        <v>19217</v>
      </c>
      <c r="B861" t="s">
        <v>41</v>
      </c>
      <c r="C861" t="s">
        <v>44</v>
      </c>
      <c r="D861" s="3">
        <v>30000</v>
      </c>
      <c r="E861" s="3" t="s">
        <v>45</v>
      </c>
      <c r="F861">
        <v>2</v>
      </c>
      <c r="G861" t="s">
        <v>30</v>
      </c>
      <c r="H861" t="s">
        <v>16</v>
      </c>
      <c r="I861" t="s">
        <v>7</v>
      </c>
      <c r="J861">
        <v>2</v>
      </c>
      <c r="K861" t="s">
        <v>29</v>
      </c>
      <c r="L861" t="s">
        <v>35</v>
      </c>
      <c r="M861" t="s">
        <v>51</v>
      </c>
      <c r="N861" t="s">
        <v>20</v>
      </c>
    </row>
    <row r="862" spans="1:14">
      <c r="A862">
        <v>15839</v>
      </c>
      <c r="B862" t="s">
        <v>42</v>
      </c>
      <c r="C862" t="s">
        <v>44</v>
      </c>
      <c r="D862" s="3">
        <v>30000</v>
      </c>
      <c r="E862" s="3" t="s">
        <v>45</v>
      </c>
      <c r="F862">
        <v>0</v>
      </c>
      <c r="G862" t="s">
        <v>21</v>
      </c>
      <c r="H862" t="s">
        <v>16</v>
      </c>
      <c r="I862" t="s">
        <v>7</v>
      </c>
      <c r="J862">
        <v>1</v>
      </c>
      <c r="K862" t="s">
        <v>26</v>
      </c>
      <c r="L862" t="s">
        <v>35</v>
      </c>
      <c r="M862" t="s">
        <v>52</v>
      </c>
      <c r="N862" t="s">
        <v>20</v>
      </c>
    </row>
    <row r="863" spans="1:14">
      <c r="A863">
        <v>13714</v>
      </c>
      <c r="B863" t="s">
        <v>41</v>
      </c>
      <c r="C863" t="s">
        <v>43</v>
      </c>
      <c r="D863" s="3">
        <v>20000</v>
      </c>
      <c r="E863" s="3" t="s">
        <v>45</v>
      </c>
      <c r="F863">
        <v>2</v>
      </c>
      <c r="G863" t="s">
        <v>30</v>
      </c>
      <c r="H863" t="s">
        <v>28</v>
      </c>
      <c r="I863" t="s">
        <v>48</v>
      </c>
      <c r="J863">
        <v>2</v>
      </c>
      <c r="K863" t="s">
        <v>29</v>
      </c>
      <c r="L863" t="s">
        <v>35</v>
      </c>
      <c r="M863" t="s">
        <v>51</v>
      </c>
      <c r="N863" t="s">
        <v>17</v>
      </c>
    </row>
    <row r="864" spans="1:14">
      <c r="A864">
        <v>22330</v>
      </c>
      <c r="B864" t="s">
        <v>41</v>
      </c>
      <c r="C864" t="s">
        <v>44</v>
      </c>
      <c r="D864" s="3">
        <v>50000</v>
      </c>
      <c r="E864" s="3" t="s">
        <v>45</v>
      </c>
      <c r="F864">
        <v>0</v>
      </c>
      <c r="G864" t="s">
        <v>34</v>
      </c>
      <c r="H864" t="s">
        <v>16</v>
      </c>
      <c r="I864" t="s">
        <v>7</v>
      </c>
      <c r="J864">
        <v>0</v>
      </c>
      <c r="K864" t="s">
        <v>29</v>
      </c>
      <c r="L864" t="s">
        <v>35</v>
      </c>
      <c r="M864" t="s">
        <v>52</v>
      </c>
      <c r="N864" t="s">
        <v>17</v>
      </c>
    </row>
    <row r="865" spans="1:14">
      <c r="A865">
        <v>18783</v>
      </c>
      <c r="B865" t="s">
        <v>42</v>
      </c>
      <c r="C865" t="s">
        <v>44</v>
      </c>
      <c r="D865" s="3">
        <v>80000</v>
      </c>
      <c r="E865" s="3" t="s">
        <v>46</v>
      </c>
      <c r="F865">
        <v>0</v>
      </c>
      <c r="G865" t="s">
        <v>15</v>
      </c>
      <c r="H865" t="s">
        <v>31</v>
      </c>
      <c r="I865" t="s">
        <v>48</v>
      </c>
      <c r="J865">
        <v>1</v>
      </c>
      <c r="K865" t="s">
        <v>18</v>
      </c>
      <c r="L865" t="s">
        <v>35</v>
      </c>
      <c r="M865" t="s">
        <v>49</v>
      </c>
      <c r="N865" t="s">
        <v>17</v>
      </c>
    </row>
    <row r="866" spans="1:14">
      <c r="A866">
        <v>25041</v>
      </c>
      <c r="B866" t="s">
        <v>42</v>
      </c>
      <c r="C866" t="s">
        <v>44</v>
      </c>
      <c r="D866" s="3">
        <v>40000</v>
      </c>
      <c r="E866" s="3" t="s">
        <v>45</v>
      </c>
      <c r="F866">
        <v>0</v>
      </c>
      <c r="G866" t="s">
        <v>30</v>
      </c>
      <c r="H866" t="s">
        <v>16</v>
      </c>
      <c r="I866" t="s">
        <v>7</v>
      </c>
      <c r="J866">
        <v>2</v>
      </c>
      <c r="K866" t="s">
        <v>26</v>
      </c>
      <c r="L866" t="s">
        <v>35</v>
      </c>
      <c r="M866" t="s">
        <v>52</v>
      </c>
      <c r="N866" t="s">
        <v>20</v>
      </c>
    </row>
    <row r="867" spans="1:14">
      <c r="A867">
        <v>22046</v>
      </c>
      <c r="B867" t="s">
        <v>42</v>
      </c>
      <c r="C867" t="s">
        <v>43</v>
      </c>
      <c r="D867" s="3">
        <v>80000</v>
      </c>
      <c r="E867" s="3" t="s">
        <v>46</v>
      </c>
      <c r="F867">
        <v>0</v>
      </c>
      <c r="G867" t="s">
        <v>15</v>
      </c>
      <c r="H867" t="s">
        <v>31</v>
      </c>
      <c r="I867" t="s">
        <v>48</v>
      </c>
      <c r="J867">
        <v>1</v>
      </c>
      <c r="K867" t="s">
        <v>18</v>
      </c>
      <c r="L867" t="s">
        <v>35</v>
      </c>
      <c r="M867" t="s">
        <v>49</v>
      </c>
      <c r="N867" t="s">
        <v>17</v>
      </c>
    </row>
    <row r="868" spans="1:14">
      <c r="A868">
        <v>28052</v>
      </c>
      <c r="B868" t="s">
        <v>41</v>
      </c>
      <c r="C868" t="s">
        <v>44</v>
      </c>
      <c r="D868" s="3">
        <v>60000</v>
      </c>
      <c r="E868" s="3" t="s">
        <v>46</v>
      </c>
      <c r="F868">
        <v>2</v>
      </c>
      <c r="G868" t="s">
        <v>30</v>
      </c>
      <c r="H868" t="s">
        <v>23</v>
      </c>
      <c r="I868" t="s">
        <v>7</v>
      </c>
      <c r="J868">
        <v>2</v>
      </c>
      <c r="K868" t="s">
        <v>33</v>
      </c>
      <c r="L868" t="s">
        <v>35</v>
      </c>
      <c r="M868" t="s">
        <v>50</v>
      </c>
      <c r="N868" t="s">
        <v>20</v>
      </c>
    </row>
    <row r="869" spans="1:14">
      <c r="A869">
        <v>26693</v>
      </c>
      <c r="B869" t="s">
        <v>41</v>
      </c>
      <c r="C869" t="s">
        <v>44</v>
      </c>
      <c r="D869" s="3">
        <v>70000</v>
      </c>
      <c r="E869" s="3" t="s">
        <v>46</v>
      </c>
      <c r="F869">
        <v>3</v>
      </c>
      <c r="G869" t="s">
        <v>21</v>
      </c>
      <c r="H869" t="s">
        <v>23</v>
      </c>
      <c r="I869" t="s">
        <v>7</v>
      </c>
      <c r="J869">
        <v>1</v>
      </c>
      <c r="K869" t="s">
        <v>26</v>
      </c>
      <c r="L869" t="s">
        <v>35</v>
      </c>
      <c r="M869" t="s">
        <v>51</v>
      </c>
      <c r="N869" t="s">
        <v>20</v>
      </c>
    </row>
    <row r="870" spans="1:14">
      <c r="A870">
        <v>24955</v>
      </c>
      <c r="B870" t="s">
        <v>42</v>
      </c>
      <c r="C870" t="s">
        <v>44</v>
      </c>
      <c r="D870" s="3">
        <v>30000</v>
      </c>
      <c r="E870" s="3" t="s">
        <v>45</v>
      </c>
      <c r="F870">
        <v>5</v>
      </c>
      <c r="G870" t="s">
        <v>32</v>
      </c>
      <c r="H870" t="s">
        <v>16</v>
      </c>
      <c r="I870" t="s">
        <v>7</v>
      </c>
      <c r="J870">
        <v>3</v>
      </c>
      <c r="K870" t="s">
        <v>33</v>
      </c>
      <c r="L870" t="s">
        <v>35</v>
      </c>
      <c r="M870" t="s">
        <v>50</v>
      </c>
      <c r="N870" t="s">
        <v>17</v>
      </c>
    </row>
    <row r="871" spans="1:14">
      <c r="A871">
        <v>26065</v>
      </c>
      <c r="B871" t="s">
        <v>42</v>
      </c>
      <c r="C871" t="s">
        <v>43</v>
      </c>
      <c r="D871" s="3">
        <v>110000</v>
      </c>
      <c r="E871" s="3" t="s">
        <v>46</v>
      </c>
      <c r="F871">
        <v>3</v>
      </c>
      <c r="G871" t="s">
        <v>15</v>
      </c>
      <c r="H871" t="s">
        <v>31</v>
      </c>
      <c r="I871" t="s">
        <v>48</v>
      </c>
      <c r="J871">
        <v>4</v>
      </c>
      <c r="K871" t="s">
        <v>29</v>
      </c>
      <c r="L871" t="s">
        <v>35</v>
      </c>
      <c r="M871" t="s">
        <v>49</v>
      </c>
      <c r="N871" t="s">
        <v>20</v>
      </c>
    </row>
    <row r="872" spans="1:14">
      <c r="A872">
        <v>13942</v>
      </c>
      <c r="B872" t="s">
        <v>41</v>
      </c>
      <c r="C872" t="s">
        <v>44</v>
      </c>
      <c r="D872" s="3">
        <v>60000</v>
      </c>
      <c r="E872" s="3" t="s">
        <v>46</v>
      </c>
      <c r="F872">
        <v>1</v>
      </c>
      <c r="G872" t="s">
        <v>21</v>
      </c>
      <c r="H872" t="s">
        <v>16</v>
      </c>
      <c r="I872" t="s">
        <v>7</v>
      </c>
      <c r="J872">
        <v>1</v>
      </c>
      <c r="K872" t="s">
        <v>18</v>
      </c>
      <c r="L872" t="s">
        <v>35</v>
      </c>
      <c r="M872" t="s">
        <v>51</v>
      </c>
      <c r="N872" t="s">
        <v>20</v>
      </c>
    </row>
    <row r="873" spans="1:14">
      <c r="A873">
        <v>11219</v>
      </c>
      <c r="B873" t="s">
        <v>41</v>
      </c>
      <c r="C873" t="s">
        <v>44</v>
      </c>
      <c r="D873" s="3">
        <v>60000</v>
      </c>
      <c r="E873" s="3" t="s">
        <v>46</v>
      </c>
      <c r="F873">
        <v>2</v>
      </c>
      <c r="G873" t="s">
        <v>30</v>
      </c>
      <c r="H873" t="s">
        <v>23</v>
      </c>
      <c r="I873" t="s">
        <v>7</v>
      </c>
      <c r="J873">
        <v>2</v>
      </c>
      <c r="K873" t="s">
        <v>33</v>
      </c>
      <c r="L873" t="s">
        <v>35</v>
      </c>
      <c r="M873" t="s">
        <v>50</v>
      </c>
      <c r="N873" t="s">
        <v>20</v>
      </c>
    </row>
    <row r="874" spans="1:14">
      <c r="A874">
        <v>22118</v>
      </c>
      <c r="B874" t="s">
        <v>42</v>
      </c>
      <c r="C874" t="s">
        <v>43</v>
      </c>
      <c r="D874" s="3">
        <v>70000</v>
      </c>
      <c r="E874" s="3" t="s">
        <v>46</v>
      </c>
      <c r="F874">
        <v>3</v>
      </c>
      <c r="G874" t="s">
        <v>34</v>
      </c>
      <c r="H874" t="s">
        <v>31</v>
      </c>
      <c r="I874" t="s">
        <v>7</v>
      </c>
      <c r="J874">
        <v>2</v>
      </c>
      <c r="K874" t="s">
        <v>26</v>
      </c>
      <c r="L874" t="s">
        <v>35</v>
      </c>
      <c r="M874" t="s">
        <v>51</v>
      </c>
      <c r="N874" t="s">
        <v>17</v>
      </c>
    </row>
    <row r="875" spans="1:14">
      <c r="A875">
        <v>23197</v>
      </c>
      <c r="B875" t="s">
        <v>41</v>
      </c>
      <c r="C875" t="s">
        <v>44</v>
      </c>
      <c r="D875" s="3">
        <v>50000</v>
      </c>
      <c r="E875" s="3" t="s">
        <v>45</v>
      </c>
      <c r="F875">
        <v>3</v>
      </c>
      <c r="G875" t="s">
        <v>15</v>
      </c>
      <c r="H875" t="s">
        <v>16</v>
      </c>
      <c r="I875" t="s">
        <v>7</v>
      </c>
      <c r="J875">
        <v>2</v>
      </c>
      <c r="K875" t="s">
        <v>24</v>
      </c>
      <c r="L875" t="s">
        <v>35</v>
      </c>
      <c r="M875" t="s">
        <v>49</v>
      </c>
      <c r="N875" t="s">
        <v>20</v>
      </c>
    </row>
    <row r="876" spans="1:14">
      <c r="A876">
        <v>14883</v>
      </c>
      <c r="B876" t="s">
        <v>41</v>
      </c>
      <c r="C876" t="s">
        <v>43</v>
      </c>
      <c r="D876" s="3">
        <v>30000</v>
      </c>
      <c r="E876" s="3" t="s">
        <v>45</v>
      </c>
      <c r="F876">
        <v>1</v>
      </c>
      <c r="G876" t="s">
        <v>15</v>
      </c>
      <c r="H876" t="s">
        <v>16</v>
      </c>
      <c r="I876" t="s">
        <v>7</v>
      </c>
      <c r="J876">
        <v>1</v>
      </c>
      <c r="K876" t="s">
        <v>26</v>
      </c>
      <c r="L876" t="s">
        <v>35</v>
      </c>
      <c r="M876" t="s">
        <v>51</v>
      </c>
      <c r="N876" t="s">
        <v>17</v>
      </c>
    </row>
    <row r="877" spans="1:14">
      <c r="A877">
        <v>27279</v>
      </c>
      <c r="B877" t="s">
        <v>42</v>
      </c>
      <c r="C877" t="s">
        <v>43</v>
      </c>
      <c r="D877" s="3">
        <v>70000</v>
      </c>
      <c r="E877" s="3" t="s">
        <v>46</v>
      </c>
      <c r="F877">
        <v>2</v>
      </c>
      <c r="G877" t="s">
        <v>15</v>
      </c>
      <c r="H877" t="s">
        <v>16</v>
      </c>
      <c r="I877" t="s">
        <v>7</v>
      </c>
      <c r="J877">
        <v>0</v>
      </c>
      <c r="K877" t="s">
        <v>24</v>
      </c>
      <c r="L877" t="s">
        <v>35</v>
      </c>
      <c r="M877" t="s">
        <v>49</v>
      </c>
      <c r="N877" t="s">
        <v>17</v>
      </c>
    </row>
    <row r="878" spans="1:14">
      <c r="A878">
        <v>18322</v>
      </c>
      <c r="B878" t="s">
        <v>42</v>
      </c>
      <c r="C878" t="s">
        <v>44</v>
      </c>
      <c r="D878" s="3">
        <v>30000</v>
      </c>
      <c r="E878" s="3" t="s">
        <v>45</v>
      </c>
      <c r="F878">
        <v>0</v>
      </c>
      <c r="G878" t="s">
        <v>32</v>
      </c>
      <c r="H878" t="s">
        <v>22</v>
      </c>
      <c r="I878" t="s">
        <v>48</v>
      </c>
      <c r="J878">
        <v>2</v>
      </c>
      <c r="K878" t="s">
        <v>18</v>
      </c>
      <c r="L878" t="s">
        <v>35</v>
      </c>
      <c r="M878" t="s">
        <v>52</v>
      </c>
      <c r="N878" t="s">
        <v>20</v>
      </c>
    </row>
    <row r="879" spans="1:14">
      <c r="A879">
        <v>15879</v>
      </c>
      <c r="B879" t="s">
        <v>41</v>
      </c>
      <c r="C879" t="s">
        <v>44</v>
      </c>
      <c r="D879" s="3">
        <v>70000</v>
      </c>
      <c r="E879" s="3" t="s">
        <v>46</v>
      </c>
      <c r="F879">
        <v>5</v>
      </c>
      <c r="G879" t="s">
        <v>15</v>
      </c>
      <c r="H879" t="s">
        <v>31</v>
      </c>
      <c r="I879" t="s">
        <v>7</v>
      </c>
      <c r="J879">
        <v>2</v>
      </c>
      <c r="K879" t="s">
        <v>24</v>
      </c>
      <c r="L879" t="s">
        <v>35</v>
      </c>
      <c r="M879" t="s">
        <v>50</v>
      </c>
      <c r="N879" t="s">
        <v>20</v>
      </c>
    </row>
    <row r="880" spans="1:14">
      <c r="A880">
        <v>28278</v>
      </c>
      <c r="B880" t="s">
        <v>41</v>
      </c>
      <c r="C880" t="s">
        <v>44</v>
      </c>
      <c r="D880" s="3">
        <v>50000</v>
      </c>
      <c r="E880" s="3" t="s">
        <v>45</v>
      </c>
      <c r="F880">
        <v>2</v>
      </c>
      <c r="G880" t="s">
        <v>34</v>
      </c>
      <c r="H880" t="s">
        <v>31</v>
      </c>
      <c r="I880" t="s">
        <v>7</v>
      </c>
      <c r="J880">
        <v>2</v>
      </c>
      <c r="K880" t="s">
        <v>26</v>
      </c>
      <c r="L880" t="s">
        <v>35</v>
      </c>
      <c r="M880" t="s">
        <v>53</v>
      </c>
      <c r="N880" t="s">
        <v>20</v>
      </c>
    </row>
    <row r="881" spans="1:14">
      <c r="A881">
        <v>24416</v>
      </c>
      <c r="B881" t="s">
        <v>41</v>
      </c>
      <c r="C881" t="s">
        <v>44</v>
      </c>
      <c r="D881" s="3">
        <v>90000</v>
      </c>
      <c r="E881" s="3" t="s">
        <v>46</v>
      </c>
      <c r="F881">
        <v>4</v>
      </c>
      <c r="G881" t="s">
        <v>30</v>
      </c>
      <c r="H881" t="s">
        <v>23</v>
      </c>
      <c r="I881" t="s">
        <v>7</v>
      </c>
      <c r="J881">
        <v>2</v>
      </c>
      <c r="K881" t="s">
        <v>29</v>
      </c>
      <c r="L881" t="s">
        <v>35</v>
      </c>
      <c r="M881" t="s">
        <v>51</v>
      </c>
      <c r="N881" t="s">
        <v>20</v>
      </c>
    </row>
    <row r="882" spans="1:14">
      <c r="A882">
        <v>28066</v>
      </c>
      <c r="B882" t="s">
        <v>41</v>
      </c>
      <c r="C882" t="s">
        <v>44</v>
      </c>
      <c r="D882" s="3">
        <v>80000</v>
      </c>
      <c r="E882" s="3" t="s">
        <v>46</v>
      </c>
      <c r="F882">
        <v>2</v>
      </c>
      <c r="G882" t="s">
        <v>34</v>
      </c>
      <c r="H882" t="s">
        <v>23</v>
      </c>
      <c r="I882" t="s">
        <v>7</v>
      </c>
      <c r="J882">
        <v>0</v>
      </c>
      <c r="K882" t="s">
        <v>18</v>
      </c>
      <c r="L882" t="s">
        <v>35</v>
      </c>
      <c r="M882" t="s">
        <v>49</v>
      </c>
      <c r="N882" t="s">
        <v>17</v>
      </c>
    </row>
    <row r="883" spans="1:14">
      <c r="A883">
        <v>11275</v>
      </c>
      <c r="B883" t="s">
        <v>41</v>
      </c>
      <c r="C883" t="s">
        <v>43</v>
      </c>
      <c r="D883" s="3">
        <v>80000</v>
      </c>
      <c r="E883" s="3" t="s">
        <v>46</v>
      </c>
      <c r="F883">
        <v>4</v>
      </c>
      <c r="G883" t="s">
        <v>34</v>
      </c>
      <c r="H883" t="s">
        <v>31</v>
      </c>
      <c r="I883" t="s">
        <v>7</v>
      </c>
      <c r="J883">
        <v>2</v>
      </c>
      <c r="K883" t="s">
        <v>18</v>
      </c>
      <c r="L883" t="s">
        <v>35</v>
      </c>
      <c r="M883" t="s">
        <v>53</v>
      </c>
      <c r="N883" t="s">
        <v>17</v>
      </c>
    </row>
    <row r="884" spans="1:14">
      <c r="A884">
        <v>14872</v>
      </c>
      <c r="B884" t="s">
        <v>41</v>
      </c>
      <c r="C884" t="s">
        <v>44</v>
      </c>
      <c r="D884" s="3">
        <v>30000</v>
      </c>
      <c r="E884" s="3" t="s">
        <v>45</v>
      </c>
      <c r="F884">
        <v>0</v>
      </c>
      <c r="G884" t="s">
        <v>34</v>
      </c>
      <c r="H884" t="s">
        <v>16</v>
      </c>
      <c r="I884" t="s">
        <v>7</v>
      </c>
      <c r="J884">
        <v>0</v>
      </c>
      <c r="K884" t="s">
        <v>18</v>
      </c>
      <c r="L884" t="s">
        <v>35</v>
      </c>
      <c r="M884" t="s">
        <v>52</v>
      </c>
      <c r="N884" t="s">
        <v>20</v>
      </c>
    </row>
    <row r="885" spans="1:14">
      <c r="A885">
        <v>16151</v>
      </c>
      <c r="B885" t="s">
        <v>41</v>
      </c>
      <c r="C885" t="s">
        <v>43</v>
      </c>
      <c r="D885" s="3">
        <v>60000</v>
      </c>
      <c r="E885" s="3" t="s">
        <v>46</v>
      </c>
      <c r="F885">
        <v>1</v>
      </c>
      <c r="G885" t="s">
        <v>15</v>
      </c>
      <c r="H885" t="s">
        <v>23</v>
      </c>
      <c r="I885" t="s">
        <v>7</v>
      </c>
      <c r="J885">
        <v>1</v>
      </c>
      <c r="K885" t="s">
        <v>24</v>
      </c>
      <c r="L885" t="s">
        <v>35</v>
      </c>
      <c r="M885" t="s">
        <v>51</v>
      </c>
      <c r="N885" t="s">
        <v>17</v>
      </c>
    </row>
    <row r="886" spans="1:14">
      <c r="A886">
        <v>19731</v>
      </c>
      <c r="B886" t="s">
        <v>41</v>
      </c>
      <c r="C886" t="s">
        <v>44</v>
      </c>
      <c r="D886" s="3">
        <v>80000</v>
      </c>
      <c r="E886" s="3" t="s">
        <v>46</v>
      </c>
      <c r="F886">
        <v>4</v>
      </c>
      <c r="G886" t="s">
        <v>34</v>
      </c>
      <c r="H886" t="s">
        <v>31</v>
      </c>
      <c r="I886" t="s">
        <v>7</v>
      </c>
      <c r="J886">
        <v>2</v>
      </c>
      <c r="K886" t="s">
        <v>26</v>
      </c>
      <c r="L886" t="s">
        <v>35</v>
      </c>
      <c r="M886" t="s">
        <v>53</v>
      </c>
      <c r="N886" t="s">
        <v>20</v>
      </c>
    </row>
    <row r="887" spans="1:14">
      <c r="A887">
        <v>23801</v>
      </c>
      <c r="B887" t="s">
        <v>41</v>
      </c>
      <c r="C887" t="s">
        <v>43</v>
      </c>
      <c r="D887" s="3">
        <v>20000</v>
      </c>
      <c r="E887" s="3" t="s">
        <v>45</v>
      </c>
      <c r="F887">
        <v>2</v>
      </c>
      <c r="G887" t="s">
        <v>32</v>
      </c>
      <c r="H887" t="s">
        <v>22</v>
      </c>
      <c r="I887" t="s">
        <v>7</v>
      </c>
      <c r="J887">
        <v>2</v>
      </c>
      <c r="K887" t="s">
        <v>18</v>
      </c>
      <c r="L887" t="s">
        <v>35</v>
      </c>
      <c r="M887" t="s">
        <v>51</v>
      </c>
      <c r="N887" t="s">
        <v>20</v>
      </c>
    </row>
    <row r="888" spans="1:14">
      <c r="A888">
        <v>11807</v>
      </c>
      <c r="B888" t="s">
        <v>41</v>
      </c>
      <c r="C888" t="s">
        <v>44</v>
      </c>
      <c r="D888" s="3">
        <v>70000</v>
      </c>
      <c r="E888" s="3" t="s">
        <v>46</v>
      </c>
      <c r="F888">
        <v>3</v>
      </c>
      <c r="G888" t="s">
        <v>34</v>
      </c>
      <c r="H888" t="s">
        <v>23</v>
      </c>
      <c r="I888" t="s">
        <v>7</v>
      </c>
      <c r="J888">
        <v>0</v>
      </c>
      <c r="K888" t="s">
        <v>24</v>
      </c>
      <c r="L888" t="s">
        <v>35</v>
      </c>
      <c r="M888" t="s">
        <v>52</v>
      </c>
      <c r="N888" t="s">
        <v>20</v>
      </c>
    </row>
    <row r="889" spans="1:14">
      <c r="A889">
        <v>11622</v>
      </c>
      <c r="B889" t="s">
        <v>41</v>
      </c>
      <c r="C889" t="s">
        <v>44</v>
      </c>
      <c r="D889" s="3">
        <v>50000</v>
      </c>
      <c r="E889" s="3" t="s">
        <v>45</v>
      </c>
      <c r="F889">
        <v>0</v>
      </c>
      <c r="G889" t="s">
        <v>34</v>
      </c>
      <c r="H889" t="s">
        <v>16</v>
      </c>
      <c r="I889" t="s">
        <v>7</v>
      </c>
      <c r="J889">
        <v>0</v>
      </c>
      <c r="K889" t="s">
        <v>18</v>
      </c>
      <c r="L889" t="s">
        <v>35</v>
      </c>
      <c r="M889" t="s">
        <v>52</v>
      </c>
      <c r="N889" t="s">
        <v>20</v>
      </c>
    </row>
    <row r="890" spans="1:14">
      <c r="A890">
        <v>26597</v>
      </c>
      <c r="B890" t="s">
        <v>42</v>
      </c>
      <c r="C890" t="s">
        <v>43</v>
      </c>
      <c r="D890" s="3">
        <v>60000</v>
      </c>
      <c r="E890" s="3" t="s">
        <v>46</v>
      </c>
      <c r="F890">
        <v>4</v>
      </c>
      <c r="G890" t="s">
        <v>15</v>
      </c>
      <c r="H890" t="s">
        <v>16</v>
      </c>
      <c r="I890" t="s">
        <v>48</v>
      </c>
      <c r="J890">
        <v>2</v>
      </c>
      <c r="K890" t="s">
        <v>18</v>
      </c>
      <c r="L890" t="s">
        <v>35</v>
      </c>
      <c r="M890" t="s">
        <v>49</v>
      </c>
      <c r="N890" t="s">
        <v>20</v>
      </c>
    </row>
    <row r="891" spans="1:14">
      <c r="A891">
        <v>27074</v>
      </c>
      <c r="B891" t="s">
        <v>41</v>
      </c>
      <c r="C891" t="s">
        <v>43</v>
      </c>
      <c r="D891" s="3">
        <v>70000</v>
      </c>
      <c r="E891" s="3" t="s">
        <v>46</v>
      </c>
      <c r="F891">
        <v>1</v>
      </c>
      <c r="G891" t="s">
        <v>34</v>
      </c>
      <c r="H891" t="s">
        <v>16</v>
      </c>
      <c r="I891" t="s">
        <v>7</v>
      </c>
      <c r="J891">
        <v>0</v>
      </c>
      <c r="K891" t="s">
        <v>18</v>
      </c>
      <c r="L891" t="s">
        <v>35</v>
      </c>
      <c r="M891" t="s">
        <v>49</v>
      </c>
      <c r="N891" t="s">
        <v>17</v>
      </c>
    </row>
    <row r="892" spans="1:14">
      <c r="A892">
        <v>19228</v>
      </c>
      <c r="B892" t="s">
        <v>41</v>
      </c>
      <c r="C892" t="s">
        <v>43</v>
      </c>
      <c r="D892" s="3">
        <v>40000</v>
      </c>
      <c r="E892" s="3" t="s">
        <v>45</v>
      </c>
      <c r="F892">
        <v>2</v>
      </c>
      <c r="G892" t="s">
        <v>21</v>
      </c>
      <c r="H892" t="s">
        <v>22</v>
      </c>
      <c r="I892" t="s">
        <v>7</v>
      </c>
      <c r="J892">
        <v>1</v>
      </c>
      <c r="K892" t="s">
        <v>18</v>
      </c>
      <c r="L892" t="s">
        <v>35</v>
      </c>
      <c r="M892" t="s">
        <v>51</v>
      </c>
      <c r="N892" t="s">
        <v>20</v>
      </c>
    </row>
    <row r="893" spans="1:14">
      <c r="A893">
        <v>13415</v>
      </c>
      <c r="B893" t="s">
        <v>42</v>
      </c>
      <c r="C893" t="s">
        <v>44</v>
      </c>
      <c r="D893" s="3">
        <v>100000</v>
      </c>
      <c r="E893" s="3" t="s">
        <v>46</v>
      </c>
      <c r="F893">
        <v>1</v>
      </c>
      <c r="G893" t="s">
        <v>34</v>
      </c>
      <c r="H893" t="s">
        <v>31</v>
      </c>
      <c r="I893" t="s">
        <v>7</v>
      </c>
      <c r="J893">
        <v>3</v>
      </c>
      <c r="K893" t="s">
        <v>24</v>
      </c>
      <c r="L893" t="s">
        <v>35</v>
      </c>
      <c r="M893" t="s">
        <v>53</v>
      </c>
      <c r="N893" t="s">
        <v>17</v>
      </c>
    </row>
    <row r="894" spans="1:14">
      <c r="A894">
        <v>17000</v>
      </c>
      <c r="B894" t="s">
        <v>42</v>
      </c>
      <c r="C894" t="s">
        <v>43</v>
      </c>
      <c r="D894" s="3">
        <v>70000</v>
      </c>
      <c r="E894" s="3" t="s">
        <v>46</v>
      </c>
      <c r="F894">
        <v>4</v>
      </c>
      <c r="G894" t="s">
        <v>15</v>
      </c>
      <c r="H894" t="s">
        <v>16</v>
      </c>
      <c r="I894" t="s">
        <v>7</v>
      </c>
      <c r="J894">
        <v>2</v>
      </c>
      <c r="K894" t="s">
        <v>24</v>
      </c>
      <c r="L894" t="s">
        <v>35</v>
      </c>
      <c r="M894" t="s">
        <v>49</v>
      </c>
      <c r="N894" t="s">
        <v>17</v>
      </c>
    </row>
    <row r="895" spans="1:14">
      <c r="A895">
        <v>14569</v>
      </c>
      <c r="B895" t="s">
        <v>41</v>
      </c>
      <c r="C895" t="s">
        <v>44</v>
      </c>
      <c r="D895" s="3">
        <v>60000</v>
      </c>
      <c r="E895" s="3" t="s">
        <v>46</v>
      </c>
      <c r="F895">
        <v>1</v>
      </c>
      <c r="G895" t="s">
        <v>34</v>
      </c>
      <c r="H895" t="s">
        <v>23</v>
      </c>
      <c r="I895" t="s">
        <v>7</v>
      </c>
      <c r="J895">
        <v>0</v>
      </c>
      <c r="K895" t="s">
        <v>18</v>
      </c>
      <c r="L895" t="s">
        <v>35</v>
      </c>
      <c r="M895" t="s">
        <v>49</v>
      </c>
      <c r="N895" t="s">
        <v>20</v>
      </c>
    </row>
    <row r="896" spans="1:14">
      <c r="A896">
        <v>13873</v>
      </c>
      <c r="B896" t="s">
        <v>41</v>
      </c>
      <c r="C896" t="s">
        <v>44</v>
      </c>
      <c r="D896" s="3">
        <v>70000</v>
      </c>
      <c r="E896" s="3" t="s">
        <v>46</v>
      </c>
      <c r="F896">
        <v>3</v>
      </c>
      <c r="G896" t="s">
        <v>34</v>
      </c>
      <c r="H896" t="s">
        <v>23</v>
      </c>
      <c r="I896" t="s">
        <v>7</v>
      </c>
      <c r="J896">
        <v>0</v>
      </c>
      <c r="K896" t="s">
        <v>18</v>
      </c>
      <c r="L896" t="s">
        <v>35</v>
      </c>
      <c r="M896" t="s">
        <v>49</v>
      </c>
      <c r="N896" t="s">
        <v>17</v>
      </c>
    </row>
    <row r="897" spans="1:14">
      <c r="A897">
        <v>20401</v>
      </c>
      <c r="B897" t="s">
        <v>41</v>
      </c>
      <c r="C897" t="s">
        <v>43</v>
      </c>
      <c r="D897" s="3">
        <v>50000</v>
      </c>
      <c r="E897" s="3" t="s">
        <v>45</v>
      </c>
      <c r="F897">
        <v>4</v>
      </c>
      <c r="G897" t="s">
        <v>15</v>
      </c>
      <c r="H897" t="s">
        <v>31</v>
      </c>
      <c r="I897" t="s">
        <v>7</v>
      </c>
      <c r="J897">
        <v>2</v>
      </c>
      <c r="K897" t="s">
        <v>29</v>
      </c>
      <c r="L897" t="s">
        <v>35</v>
      </c>
      <c r="M897" t="s">
        <v>50</v>
      </c>
      <c r="N897" t="s">
        <v>17</v>
      </c>
    </row>
    <row r="898" spans="1:14">
      <c r="A898">
        <v>21583</v>
      </c>
      <c r="B898" t="s">
        <v>41</v>
      </c>
      <c r="C898" t="s">
        <v>43</v>
      </c>
      <c r="D898" s="3">
        <v>50000</v>
      </c>
      <c r="E898" s="3" t="s">
        <v>45</v>
      </c>
      <c r="F898">
        <v>1</v>
      </c>
      <c r="G898" t="s">
        <v>15</v>
      </c>
      <c r="H898" t="s">
        <v>16</v>
      </c>
      <c r="I898" t="s">
        <v>7</v>
      </c>
      <c r="J898">
        <v>0</v>
      </c>
      <c r="K898" t="s">
        <v>18</v>
      </c>
      <c r="L898" t="s">
        <v>35</v>
      </c>
      <c r="M898" t="s">
        <v>52</v>
      </c>
      <c r="N898" t="s">
        <v>17</v>
      </c>
    </row>
    <row r="899" spans="1:14">
      <c r="A899">
        <v>12029</v>
      </c>
      <c r="B899" t="s">
        <v>41</v>
      </c>
      <c r="C899" t="s">
        <v>44</v>
      </c>
      <c r="D899" s="3">
        <v>30000</v>
      </c>
      <c r="E899" s="3" t="s">
        <v>45</v>
      </c>
      <c r="F899">
        <v>0</v>
      </c>
      <c r="G899" t="s">
        <v>32</v>
      </c>
      <c r="H899" t="s">
        <v>22</v>
      </c>
      <c r="I899" t="s">
        <v>48</v>
      </c>
      <c r="J899">
        <v>2</v>
      </c>
      <c r="K899" t="s">
        <v>18</v>
      </c>
      <c r="L899" t="s">
        <v>35</v>
      </c>
      <c r="M899" t="s">
        <v>52</v>
      </c>
      <c r="N899" t="s">
        <v>20</v>
      </c>
    </row>
    <row r="900" spans="1:14">
      <c r="A900">
        <v>18066</v>
      </c>
      <c r="B900" t="s">
        <v>42</v>
      </c>
      <c r="C900" t="s">
        <v>44</v>
      </c>
      <c r="D900" s="3">
        <v>70000</v>
      </c>
      <c r="E900" s="3" t="s">
        <v>46</v>
      </c>
      <c r="F900">
        <v>5</v>
      </c>
      <c r="G900" t="s">
        <v>15</v>
      </c>
      <c r="H900" t="s">
        <v>31</v>
      </c>
      <c r="I900" t="s">
        <v>7</v>
      </c>
      <c r="J900">
        <v>3</v>
      </c>
      <c r="K900" t="s">
        <v>33</v>
      </c>
      <c r="L900" t="s">
        <v>35</v>
      </c>
      <c r="M900" t="s">
        <v>50</v>
      </c>
      <c r="N900" t="s">
        <v>17</v>
      </c>
    </row>
    <row r="901" spans="1:14">
      <c r="A901">
        <v>28192</v>
      </c>
      <c r="B901" t="s">
        <v>41</v>
      </c>
      <c r="C901" t="s">
        <v>43</v>
      </c>
      <c r="D901" s="3">
        <v>70000</v>
      </c>
      <c r="E901" s="3" t="s">
        <v>46</v>
      </c>
      <c r="F901">
        <v>5</v>
      </c>
      <c r="G901" t="s">
        <v>34</v>
      </c>
      <c r="H901" t="s">
        <v>23</v>
      </c>
      <c r="I901" t="s">
        <v>7</v>
      </c>
      <c r="J901">
        <v>3</v>
      </c>
      <c r="K901" t="s">
        <v>33</v>
      </c>
      <c r="L901" t="s">
        <v>35</v>
      </c>
      <c r="M901" t="s">
        <v>51</v>
      </c>
      <c r="N901" t="s">
        <v>20</v>
      </c>
    </row>
    <row r="902" spans="1:14">
      <c r="A902">
        <v>16122</v>
      </c>
      <c r="B902" t="s">
        <v>41</v>
      </c>
      <c r="C902" t="s">
        <v>44</v>
      </c>
      <c r="D902" s="3">
        <v>40000</v>
      </c>
      <c r="E902" s="3" t="s">
        <v>45</v>
      </c>
      <c r="F902">
        <v>4</v>
      </c>
      <c r="G902" t="s">
        <v>30</v>
      </c>
      <c r="H902" t="s">
        <v>16</v>
      </c>
      <c r="I902" t="s">
        <v>7</v>
      </c>
      <c r="J902">
        <v>2</v>
      </c>
      <c r="K902" t="s">
        <v>18</v>
      </c>
      <c r="L902" t="s">
        <v>35</v>
      </c>
      <c r="M902" t="s">
        <v>49</v>
      </c>
      <c r="N902" t="s">
        <v>17</v>
      </c>
    </row>
    <row r="903" spans="1:14">
      <c r="A903">
        <v>18607</v>
      </c>
      <c r="B903" t="s">
        <v>42</v>
      </c>
      <c r="C903" t="s">
        <v>43</v>
      </c>
      <c r="D903" s="3">
        <v>60000</v>
      </c>
      <c r="E903" s="3" t="s">
        <v>46</v>
      </c>
      <c r="F903">
        <v>4</v>
      </c>
      <c r="G903" t="s">
        <v>15</v>
      </c>
      <c r="H903" t="s">
        <v>16</v>
      </c>
      <c r="I903" t="s">
        <v>7</v>
      </c>
      <c r="J903">
        <v>2</v>
      </c>
      <c r="K903" t="s">
        <v>24</v>
      </c>
      <c r="L903" t="s">
        <v>35</v>
      </c>
      <c r="M903" t="s">
        <v>49</v>
      </c>
      <c r="N903" t="s">
        <v>17</v>
      </c>
    </row>
    <row r="904" spans="1:14">
      <c r="A904">
        <v>28858</v>
      </c>
      <c r="B904" t="s">
        <v>42</v>
      </c>
      <c r="C904" t="s">
        <v>44</v>
      </c>
      <c r="D904" s="3">
        <v>80000</v>
      </c>
      <c r="E904" s="3" t="s">
        <v>46</v>
      </c>
      <c r="F904">
        <v>3</v>
      </c>
      <c r="G904" t="s">
        <v>15</v>
      </c>
      <c r="H904" t="s">
        <v>16</v>
      </c>
      <c r="I904" t="s">
        <v>7</v>
      </c>
      <c r="J904">
        <v>0</v>
      </c>
      <c r="K904" t="s">
        <v>24</v>
      </c>
      <c r="L904" t="s">
        <v>35</v>
      </c>
      <c r="M904" t="s">
        <v>49</v>
      </c>
      <c r="N904" t="s">
        <v>20</v>
      </c>
    </row>
    <row r="905" spans="1:14">
      <c r="A905">
        <v>14432</v>
      </c>
      <c r="B905" t="s">
        <v>42</v>
      </c>
      <c r="C905" t="s">
        <v>44</v>
      </c>
      <c r="D905" s="3">
        <v>90000</v>
      </c>
      <c r="E905" s="3" t="s">
        <v>46</v>
      </c>
      <c r="F905">
        <v>4</v>
      </c>
      <c r="G905" t="s">
        <v>34</v>
      </c>
      <c r="H905" t="s">
        <v>31</v>
      </c>
      <c r="I905" t="s">
        <v>7</v>
      </c>
      <c r="J905">
        <v>1</v>
      </c>
      <c r="K905" t="s">
        <v>26</v>
      </c>
      <c r="L905" t="s">
        <v>35</v>
      </c>
      <c r="M905" t="s">
        <v>53</v>
      </c>
      <c r="N905" t="s">
        <v>20</v>
      </c>
    </row>
    <row r="906" spans="1:14">
      <c r="A906">
        <v>26305</v>
      </c>
      <c r="B906" t="s">
        <v>42</v>
      </c>
      <c r="C906" t="s">
        <v>43</v>
      </c>
      <c r="D906" s="3">
        <v>60000</v>
      </c>
      <c r="E906" s="3" t="s">
        <v>46</v>
      </c>
      <c r="F906">
        <v>2</v>
      </c>
      <c r="G906" t="s">
        <v>15</v>
      </c>
      <c r="H906" t="s">
        <v>16</v>
      </c>
      <c r="I906" t="s">
        <v>48</v>
      </c>
      <c r="J906">
        <v>0</v>
      </c>
      <c r="K906" t="s">
        <v>18</v>
      </c>
      <c r="L906" t="s">
        <v>35</v>
      </c>
      <c r="M906" t="s">
        <v>49</v>
      </c>
      <c r="N906" t="s">
        <v>17</v>
      </c>
    </row>
    <row r="907" spans="1:14">
      <c r="A907">
        <v>22050</v>
      </c>
      <c r="B907" t="s">
        <v>42</v>
      </c>
      <c r="C907" t="s">
        <v>44</v>
      </c>
      <c r="D907" s="3">
        <v>90000</v>
      </c>
      <c r="E907" s="3" t="s">
        <v>46</v>
      </c>
      <c r="F907">
        <v>4</v>
      </c>
      <c r="G907" t="s">
        <v>15</v>
      </c>
      <c r="H907" t="s">
        <v>31</v>
      </c>
      <c r="I907" t="s">
        <v>7</v>
      </c>
      <c r="J907">
        <v>1</v>
      </c>
      <c r="K907" t="s">
        <v>29</v>
      </c>
      <c r="L907" t="s">
        <v>35</v>
      </c>
      <c r="M907" t="s">
        <v>49</v>
      </c>
      <c r="N907" t="s">
        <v>17</v>
      </c>
    </row>
    <row r="908" spans="1:14">
      <c r="A908">
        <v>25394</v>
      </c>
      <c r="B908" t="s">
        <v>41</v>
      </c>
      <c r="C908" t="s">
        <v>44</v>
      </c>
      <c r="D908" s="3">
        <v>60000</v>
      </c>
      <c r="E908" s="3" t="s">
        <v>46</v>
      </c>
      <c r="F908">
        <v>1</v>
      </c>
      <c r="G908" t="s">
        <v>34</v>
      </c>
      <c r="H908" t="s">
        <v>23</v>
      </c>
      <c r="I908" t="s">
        <v>7</v>
      </c>
      <c r="J908">
        <v>0</v>
      </c>
      <c r="K908" t="s">
        <v>24</v>
      </c>
      <c r="L908" t="s">
        <v>35</v>
      </c>
      <c r="M908" t="s">
        <v>52</v>
      </c>
      <c r="N908" t="s">
        <v>17</v>
      </c>
    </row>
    <row r="909" spans="1:14">
      <c r="A909">
        <v>19747</v>
      </c>
      <c r="B909" t="s">
        <v>41</v>
      </c>
      <c r="C909" t="s">
        <v>44</v>
      </c>
      <c r="D909" s="3">
        <v>50000</v>
      </c>
      <c r="E909" s="3" t="s">
        <v>45</v>
      </c>
      <c r="F909">
        <v>4</v>
      </c>
      <c r="G909" t="s">
        <v>15</v>
      </c>
      <c r="H909" t="s">
        <v>31</v>
      </c>
      <c r="I909" t="s">
        <v>7</v>
      </c>
      <c r="J909">
        <v>2</v>
      </c>
      <c r="K909" t="s">
        <v>33</v>
      </c>
      <c r="L909" t="s">
        <v>35</v>
      </c>
      <c r="M909" t="s">
        <v>50</v>
      </c>
      <c r="N909" t="s">
        <v>20</v>
      </c>
    </row>
    <row r="910" spans="1:14">
      <c r="A910">
        <v>23195</v>
      </c>
      <c r="B910" t="s">
        <v>42</v>
      </c>
      <c r="C910" t="s">
        <v>44</v>
      </c>
      <c r="D910" s="3">
        <v>50000</v>
      </c>
      <c r="E910" s="3" t="s">
        <v>45</v>
      </c>
      <c r="F910">
        <v>3</v>
      </c>
      <c r="G910" t="s">
        <v>15</v>
      </c>
      <c r="H910" t="s">
        <v>16</v>
      </c>
      <c r="I910" t="s">
        <v>7</v>
      </c>
      <c r="J910">
        <v>2</v>
      </c>
      <c r="K910" t="s">
        <v>24</v>
      </c>
      <c r="L910" t="s">
        <v>35</v>
      </c>
      <c r="M910" t="s">
        <v>49</v>
      </c>
      <c r="N910" t="s">
        <v>17</v>
      </c>
    </row>
    <row r="911" spans="1:14">
      <c r="A911">
        <v>21695</v>
      </c>
      <c r="B911" t="s">
        <v>41</v>
      </c>
      <c r="C911" t="s">
        <v>44</v>
      </c>
      <c r="D911" s="3">
        <v>60000</v>
      </c>
      <c r="E911" s="3" t="s">
        <v>46</v>
      </c>
      <c r="F911">
        <v>0</v>
      </c>
      <c r="G911" t="s">
        <v>34</v>
      </c>
      <c r="H911" t="s">
        <v>16</v>
      </c>
      <c r="I911" t="s">
        <v>7</v>
      </c>
      <c r="J911">
        <v>0</v>
      </c>
      <c r="K911" t="s">
        <v>29</v>
      </c>
      <c r="L911" t="s">
        <v>35</v>
      </c>
      <c r="M911" t="s">
        <v>49</v>
      </c>
      <c r="N911" t="s">
        <v>17</v>
      </c>
    </row>
    <row r="912" spans="1:14">
      <c r="A912">
        <v>13934</v>
      </c>
      <c r="B912" t="s">
        <v>41</v>
      </c>
      <c r="C912" t="s">
        <v>44</v>
      </c>
      <c r="D912" s="3">
        <v>40000</v>
      </c>
      <c r="E912" s="3" t="s">
        <v>45</v>
      </c>
      <c r="F912">
        <v>4</v>
      </c>
      <c r="G912" t="s">
        <v>30</v>
      </c>
      <c r="H912" t="s">
        <v>16</v>
      </c>
      <c r="I912" t="s">
        <v>7</v>
      </c>
      <c r="J912">
        <v>2</v>
      </c>
      <c r="K912" t="s">
        <v>24</v>
      </c>
      <c r="L912" t="s">
        <v>35</v>
      </c>
      <c r="M912" t="s">
        <v>51</v>
      </c>
      <c r="N912" t="s">
        <v>20</v>
      </c>
    </row>
    <row r="913" spans="1:14">
      <c r="A913">
        <v>13337</v>
      </c>
      <c r="B913" t="s">
        <v>41</v>
      </c>
      <c r="C913" t="s">
        <v>43</v>
      </c>
      <c r="D913" s="3">
        <v>80000</v>
      </c>
      <c r="E913" s="3" t="s">
        <v>46</v>
      </c>
      <c r="F913">
        <v>5</v>
      </c>
      <c r="G913" t="s">
        <v>15</v>
      </c>
      <c r="H913" t="s">
        <v>31</v>
      </c>
      <c r="I913" t="s">
        <v>7</v>
      </c>
      <c r="J913">
        <v>2</v>
      </c>
      <c r="K913" t="s">
        <v>26</v>
      </c>
      <c r="L913" t="s">
        <v>35</v>
      </c>
      <c r="M913" t="s">
        <v>50</v>
      </c>
      <c r="N913" t="s">
        <v>20</v>
      </c>
    </row>
    <row r="914" spans="1:14">
      <c r="A914">
        <v>27190</v>
      </c>
      <c r="B914" t="s">
        <v>41</v>
      </c>
      <c r="C914" t="s">
        <v>43</v>
      </c>
      <c r="D914" s="3">
        <v>40000</v>
      </c>
      <c r="E914" s="3" t="s">
        <v>45</v>
      </c>
      <c r="F914">
        <v>3</v>
      </c>
      <c r="G914" t="s">
        <v>21</v>
      </c>
      <c r="H914" t="s">
        <v>22</v>
      </c>
      <c r="I914" t="s">
        <v>7</v>
      </c>
      <c r="J914">
        <v>1</v>
      </c>
      <c r="K914" t="s">
        <v>29</v>
      </c>
      <c r="L914" t="s">
        <v>35</v>
      </c>
      <c r="M914" t="s">
        <v>52</v>
      </c>
      <c r="N914" t="s">
        <v>20</v>
      </c>
    </row>
    <row r="915" spans="1:14">
      <c r="A915">
        <v>28657</v>
      </c>
      <c r="B915" t="s">
        <v>42</v>
      </c>
      <c r="C915" t="s">
        <v>44</v>
      </c>
      <c r="D915" s="3">
        <v>60000</v>
      </c>
      <c r="E915" s="3" t="s">
        <v>46</v>
      </c>
      <c r="F915">
        <v>2</v>
      </c>
      <c r="G915" t="s">
        <v>15</v>
      </c>
      <c r="H915" t="s">
        <v>16</v>
      </c>
      <c r="I915" t="s">
        <v>7</v>
      </c>
      <c r="J915">
        <v>0</v>
      </c>
      <c r="K915" t="s">
        <v>24</v>
      </c>
      <c r="L915" t="s">
        <v>35</v>
      </c>
      <c r="M915" t="s">
        <v>49</v>
      </c>
      <c r="N915" t="s">
        <v>17</v>
      </c>
    </row>
    <row r="916" spans="1:14">
      <c r="A916">
        <v>21713</v>
      </c>
      <c r="B916" t="s">
        <v>42</v>
      </c>
      <c r="C916" t="s">
        <v>44</v>
      </c>
      <c r="D916" s="3">
        <v>80000</v>
      </c>
      <c r="E916" s="3" t="s">
        <v>46</v>
      </c>
      <c r="F916">
        <v>5</v>
      </c>
      <c r="G916" t="s">
        <v>34</v>
      </c>
      <c r="H916" t="s">
        <v>16</v>
      </c>
      <c r="I916" t="s">
        <v>48</v>
      </c>
      <c r="J916">
        <v>0</v>
      </c>
      <c r="K916" t="s">
        <v>18</v>
      </c>
      <c r="L916" t="s">
        <v>35</v>
      </c>
      <c r="M916" t="s">
        <v>51</v>
      </c>
      <c r="N916" t="s">
        <v>20</v>
      </c>
    </row>
    <row r="917" spans="1:14">
      <c r="A917">
        <v>21752</v>
      </c>
      <c r="B917" t="s">
        <v>41</v>
      </c>
      <c r="C917" t="s">
        <v>44</v>
      </c>
      <c r="D917" s="3">
        <v>60000</v>
      </c>
      <c r="E917" s="3" t="s">
        <v>46</v>
      </c>
      <c r="F917">
        <v>3</v>
      </c>
      <c r="G917" t="s">
        <v>34</v>
      </c>
      <c r="H917" t="s">
        <v>31</v>
      </c>
      <c r="I917" t="s">
        <v>7</v>
      </c>
      <c r="J917">
        <v>2</v>
      </c>
      <c r="K917" t="s">
        <v>33</v>
      </c>
      <c r="L917" t="s">
        <v>35</v>
      </c>
      <c r="M917" t="s">
        <v>50</v>
      </c>
      <c r="N917" t="s">
        <v>20</v>
      </c>
    </row>
    <row r="918" spans="1:14">
      <c r="A918">
        <v>27273</v>
      </c>
      <c r="B918" t="s">
        <v>42</v>
      </c>
      <c r="C918" t="s">
        <v>44</v>
      </c>
      <c r="D918" s="3">
        <v>70000</v>
      </c>
      <c r="E918" s="3" t="s">
        <v>46</v>
      </c>
      <c r="F918">
        <v>3</v>
      </c>
      <c r="G918" t="s">
        <v>34</v>
      </c>
      <c r="H918" t="s">
        <v>23</v>
      </c>
      <c r="I918" t="s">
        <v>48</v>
      </c>
      <c r="J918">
        <v>0</v>
      </c>
      <c r="K918" t="s">
        <v>18</v>
      </c>
      <c r="L918" t="s">
        <v>35</v>
      </c>
      <c r="M918" t="s">
        <v>49</v>
      </c>
      <c r="N918" t="s">
        <v>17</v>
      </c>
    </row>
    <row r="919" spans="1:14">
      <c r="A919">
        <v>22719</v>
      </c>
      <c r="B919" t="s">
        <v>42</v>
      </c>
      <c r="C919" t="s">
        <v>44</v>
      </c>
      <c r="D919" s="3">
        <v>110000</v>
      </c>
      <c r="E919" s="3" t="s">
        <v>46</v>
      </c>
      <c r="F919">
        <v>3</v>
      </c>
      <c r="G919" t="s">
        <v>15</v>
      </c>
      <c r="H919" t="s">
        <v>31</v>
      </c>
      <c r="I919" t="s">
        <v>7</v>
      </c>
      <c r="J919">
        <v>4</v>
      </c>
      <c r="K919" t="s">
        <v>24</v>
      </c>
      <c r="L919" t="s">
        <v>35</v>
      </c>
      <c r="M919" t="s">
        <v>49</v>
      </c>
      <c r="N919" t="s">
        <v>17</v>
      </c>
    </row>
    <row r="920" spans="1:14">
      <c r="A920">
        <v>22042</v>
      </c>
      <c r="B920" t="s">
        <v>41</v>
      </c>
      <c r="C920" t="s">
        <v>43</v>
      </c>
      <c r="D920" s="3">
        <v>70000</v>
      </c>
      <c r="E920" s="3" t="s">
        <v>46</v>
      </c>
      <c r="F920">
        <v>0</v>
      </c>
      <c r="G920" t="s">
        <v>21</v>
      </c>
      <c r="H920" t="s">
        <v>16</v>
      </c>
      <c r="I920" t="s">
        <v>7</v>
      </c>
      <c r="J920">
        <v>2</v>
      </c>
      <c r="K920" t="s">
        <v>26</v>
      </c>
      <c r="L920" t="s">
        <v>35</v>
      </c>
      <c r="M920" t="s">
        <v>52</v>
      </c>
      <c r="N920" t="s">
        <v>17</v>
      </c>
    </row>
    <row r="921" spans="1:14">
      <c r="A921">
        <v>21451</v>
      </c>
      <c r="B921" t="s">
        <v>41</v>
      </c>
      <c r="C921" t="s">
        <v>43</v>
      </c>
      <c r="D921" s="3">
        <v>40000</v>
      </c>
      <c r="E921" s="3" t="s">
        <v>45</v>
      </c>
      <c r="F921">
        <v>4</v>
      </c>
      <c r="G921" t="s">
        <v>30</v>
      </c>
      <c r="H921" t="s">
        <v>23</v>
      </c>
      <c r="I921" t="s">
        <v>7</v>
      </c>
      <c r="J921">
        <v>2</v>
      </c>
      <c r="K921" t="s">
        <v>33</v>
      </c>
      <c r="L921" t="s">
        <v>35</v>
      </c>
      <c r="M921" t="s">
        <v>50</v>
      </c>
      <c r="N921" t="s">
        <v>20</v>
      </c>
    </row>
    <row r="922" spans="1:14">
      <c r="A922">
        <v>20754</v>
      </c>
      <c r="B922" t="s">
        <v>41</v>
      </c>
      <c r="C922" t="s">
        <v>44</v>
      </c>
      <c r="D922" s="3">
        <v>30000</v>
      </c>
      <c r="E922" s="3" t="s">
        <v>45</v>
      </c>
      <c r="F922">
        <v>2</v>
      </c>
      <c r="G922" t="s">
        <v>30</v>
      </c>
      <c r="H922" t="s">
        <v>16</v>
      </c>
      <c r="I922" t="s">
        <v>7</v>
      </c>
      <c r="J922">
        <v>2</v>
      </c>
      <c r="K922" t="s">
        <v>29</v>
      </c>
      <c r="L922" t="s">
        <v>35</v>
      </c>
      <c r="M922" t="s">
        <v>51</v>
      </c>
      <c r="N922" t="s">
        <v>20</v>
      </c>
    </row>
    <row r="923" spans="1:14">
      <c r="A923">
        <v>12153</v>
      </c>
      <c r="B923" t="s">
        <v>42</v>
      </c>
      <c r="C923" t="s">
        <v>43</v>
      </c>
      <c r="D923" s="3">
        <v>70000</v>
      </c>
      <c r="E923" s="3" t="s">
        <v>46</v>
      </c>
      <c r="F923">
        <v>3</v>
      </c>
      <c r="G923" t="s">
        <v>21</v>
      </c>
      <c r="H923" t="s">
        <v>23</v>
      </c>
      <c r="I923" t="s">
        <v>7</v>
      </c>
      <c r="J923">
        <v>1</v>
      </c>
      <c r="K923" t="s">
        <v>26</v>
      </c>
      <c r="L923" t="s">
        <v>35</v>
      </c>
      <c r="M923" t="s">
        <v>51</v>
      </c>
      <c r="N923" t="s">
        <v>17</v>
      </c>
    </row>
    <row r="924" spans="1:14">
      <c r="A924">
        <v>16895</v>
      </c>
      <c r="B924" t="s">
        <v>41</v>
      </c>
      <c r="C924" t="s">
        <v>43</v>
      </c>
      <c r="D924" s="3">
        <v>40000</v>
      </c>
      <c r="E924" s="3" t="s">
        <v>45</v>
      </c>
      <c r="F924">
        <v>3</v>
      </c>
      <c r="G924" t="s">
        <v>21</v>
      </c>
      <c r="H924" t="s">
        <v>23</v>
      </c>
      <c r="I924" t="s">
        <v>48</v>
      </c>
      <c r="J924">
        <v>2</v>
      </c>
      <c r="K924" t="s">
        <v>29</v>
      </c>
      <c r="L924" t="s">
        <v>35</v>
      </c>
      <c r="M924" t="s">
        <v>51</v>
      </c>
      <c r="N924" t="s">
        <v>17</v>
      </c>
    </row>
    <row r="925" spans="1:14">
      <c r="A925">
        <v>26728</v>
      </c>
      <c r="B925" t="s">
        <v>42</v>
      </c>
      <c r="C925" t="s">
        <v>44</v>
      </c>
      <c r="D925" s="3">
        <v>70000</v>
      </c>
      <c r="E925" s="3" t="s">
        <v>46</v>
      </c>
      <c r="F925">
        <v>3</v>
      </c>
      <c r="G925" t="s">
        <v>34</v>
      </c>
      <c r="H925" t="s">
        <v>31</v>
      </c>
      <c r="I925" t="s">
        <v>48</v>
      </c>
      <c r="J925">
        <v>2</v>
      </c>
      <c r="K925" t="s">
        <v>29</v>
      </c>
      <c r="L925" t="s">
        <v>35</v>
      </c>
      <c r="M925" t="s">
        <v>51</v>
      </c>
      <c r="N925" t="s">
        <v>17</v>
      </c>
    </row>
    <row r="926" spans="1:14">
      <c r="A926">
        <v>11090</v>
      </c>
      <c r="B926" t="s">
        <v>42</v>
      </c>
      <c r="C926" t="s">
        <v>44</v>
      </c>
      <c r="D926" s="3">
        <v>90000</v>
      </c>
      <c r="E926" s="3" t="s">
        <v>46</v>
      </c>
      <c r="F926">
        <v>2</v>
      </c>
      <c r="G926" t="s">
        <v>21</v>
      </c>
      <c r="H926" t="s">
        <v>23</v>
      </c>
      <c r="I926" t="s">
        <v>7</v>
      </c>
      <c r="J926">
        <v>1</v>
      </c>
      <c r="K926" t="s">
        <v>24</v>
      </c>
      <c r="L926" t="s">
        <v>35</v>
      </c>
      <c r="M926" t="s">
        <v>51</v>
      </c>
      <c r="N926" t="s">
        <v>17</v>
      </c>
    </row>
    <row r="927" spans="1:14">
      <c r="A927">
        <v>15862</v>
      </c>
      <c r="B927" t="s">
        <v>42</v>
      </c>
      <c r="C927" t="s">
        <v>43</v>
      </c>
      <c r="D927" s="3">
        <v>50000</v>
      </c>
      <c r="E927" s="3" t="s">
        <v>45</v>
      </c>
      <c r="F927">
        <v>0</v>
      </c>
      <c r="G927" t="s">
        <v>34</v>
      </c>
      <c r="H927" t="s">
        <v>16</v>
      </c>
      <c r="I927" t="s">
        <v>7</v>
      </c>
      <c r="J927">
        <v>0</v>
      </c>
      <c r="K927" t="s">
        <v>29</v>
      </c>
      <c r="L927" t="s">
        <v>35</v>
      </c>
      <c r="M927" t="s">
        <v>52</v>
      </c>
      <c r="N927" t="s">
        <v>17</v>
      </c>
    </row>
    <row r="928" spans="1:14">
      <c r="A928">
        <v>26495</v>
      </c>
      <c r="B928" t="s">
        <v>42</v>
      </c>
      <c r="C928" t="s">
        <v>43</v>
      </c>
      <c r="D928" s="3">
        <v>40000</v>
      </c>
      <c r="E928" s="3" t="s">
        <v>45</v>
      </c>
      <c r="F928">
        <v>2</v>
      </c>
      <c r="G928" t="s">
        <v>30</v>
      </c>
      <c r="H928" t="s">
        <v>23</v>
      </c>
      <c r="I928" t="s">
        <v>7</v>
      </c>
      <c r="J928">
        <v>2</v>
      </c>
      <c r="K928" t="s">
        <v>33</v>
      </c>
      <c r="L928" t="s">
        <v>35</v>
      </c>
      <c r="M928" t="s">
        <v>50</v>
      </c>
      <c r="N928" t="s">
        <v>20</v>
      </c>
    </row>
    <row r="929" spans="1:14">
      <c r="A929">
        <v>11823</v>
      </c>
      <c r="B929" t="s">
        <v>41</v>
      </c>
      <c r="C929" t="s">
        <v>43</v>
      </c>
      <c r="D929" s="3">
        <v>70000</v>
      </c>
      <c r="E929" s="3" t="s">
        <v>46</v>
      </c>
      <c r="F929">
        <v>0</v>
      </c>
      <c r="G929" t="s">
        <v>34</v>
      </c>
      <c r="H929" t="s">
        <v>23</v>
      </c>
      <c r="I929" t="s">
        <v>7</v>
      </c>
      <c r="J929">
        <v>0</v>
      </c>
      <c r="K929" t="s">
        <v>24</v>
      </c>
      <c r="L929" t="s">
        <v>35</v>
      </c>
      <c r="M929" t="s">
        <v>49</v>
      </c>
      <c r="N929" t="s">
        <v>20</v>
      </c>
    </row>
    <row r="930" spans="1:14">
      <c r="A930">
        <v>23449</v>
      </c>
      <c r="B930" t="s">
        <v>41</v>
      </c>
      <c r="C930" t="s">
        <v>44</v>
      </c>
      <c r="D930" s="3">
        <v>60000</v>
      </c>
      <c r="E930" s="3" t="s">
        <v>46</v>
      </c>
      <c r="F930">
        <v>2</v>
      </c>
      <c r="G930" t="s">
        <v>30</v>
      </c>
      <c r="H930" t="s">
        <v>23</v>
      </c>
      <c r="I930" t="s">
        <v>7</v>
      </c>
      <c r="J930">
        <v>2</v>
      </c>
      <c r="K930" t="s">
        <v>26</v>
      </c>
      <c r="L930" t="s">
        <v>35</v>
      </c>
      <c r="M930" t="s">
        <v>51</v>
      </c>
      <c r="N930" t="s">
        <v>20</v>
      </c>
    </row>
    <row r="931" spans="1:14">
      <c r="A931">
        <v>23459</v>
      </c>
      <c r="B931" t="s">
        <v>41</v>
      </c>
      <c r="C931" t="s">
        <v>44</v>
      </c>
      <c r="D931" s="3">
        <v>60000</v>
      </c>
      <c r="E931" s="3" t="s">
        <v>46</v>
      </c>
      <c r="F931">
        <v>2</v>
      </c>
      <c r="G931" t="s">
        <v>30</v>
      </c>
      <c r="H931" t="s">
        <v>23</v>
      </c>
      <c r="I931" t="s">
        <v>7</v>
      </c>
      <c r="J931">
        <v>2</v>
      </c>
      <c r="K931" t="s">
        <v>26</v>
      </c>
      <c r="L931" t="s">
        <v>35</v>
      </c>
      <c r="M931" t="s">
        <v>51</v>
      </c>
      <c r="N931" t="s">
        <v>20</v>
      </c>
    </row>
    <row r="932" spans="1:14">
      <c r="A932">
        <v>19543</v>
      </c>
      <c r="B932" t="s">
        <v>41</v>
      </c>
      <c r="C932" t="s">
        <v>44</v>
      </c>
      <c r="D932" s="3">
        <v>70000</v>
      </c>
      <c r="E932" s="3" t="s">
        <v>46</v>
      </c>
      <c r="F932">
        <v>5</v>
      </c>
      <c r="G932" t="s">
        <v>34</v>
      </c>
      <c r="H932" t="s">
        <v>23</v>
      </c>
      <c r="I932" t="s">
        <v>48</v>
      </c>
      <c r="J932">
        <v>3</v>
      </c>
      <c r="K932" t="s">
        <v>33</v>
      </c>
      <c r="L932" t="s">
        <v>35</v>
      </c>
      <c r="M932" t="s">
        <v>51</v>
      </c>
      <c r="N932" t="s">
        <v>20</v>
      </c>
    </row>
    <row r="933" spans="1:14">
      <c r="A933">
        <v>14914</v>
      </c>
      <c r="B933" t="s">
        <v>41</v>
      </c>
      <c r="C933" t="s">
        <v>43</v>
      </c>
      <c r="D933" s="3">
        <v>40000</v>
      </c>
      <c r="E933" s="3" t="s">
        <v>45</v>
      </c>
      <c r="F933">
        <v>1</v>
      </c>
      <c r="G933" t="s">
        <v>21</v>
      </c>
      <c r="H933" t="s">
        <v>22</v>
      </c>
      <c r="I933" t="s">
        <v>7</v>
      </c>
      <c r="J933">
        <v>1</v>
      </c>
      <c r="K933" t="s">
        <v>29</v>
      </c>
      <c r="L933" t="s">
        <v>35</v>
      </c>
      <c r="M933" t="s">
        <v>51</v>
      </c>
      <c r="N933" t="s">
        <v>17</v>
      </c>
    </row>
    <row r="934" spans="1:14">
      <c r="A934">
        <v>12033</v>
      </c>
      <c r="B934" t="s">
        <v>42</v>
      </c>
      <c r="C934" t="s">
        <v>43</v>
      </c>
      <c r="D934" s="3">
        <v>40000</v>
      </c>
      <c r="E934" s="3" t="s">
        <v>45</v>
      </c>
      <c r="F934">
        <v>0</v>
      </c>
      <c r="G934" t="s">
        <v>30</v>
      </c>
      <c r="H934" t="s">
        <v>16</v>
      </c>
      <c r="I934" t="s">
        <v>48</v>
      </c>
      <c r="J934">
        <v>2</v>
      </c>
      <c r="K934" t="s">
        <v>18</v>
      </c>
      <c r="L934" t="s">
        <v>35</v>
      </c>
      <c r="M934" t="s">
        <v>52</v>
      </c>
      <c r="N934" t="s">
        <v>17</v>
      </c>
    </row>
    <row r="935" spans="1:14">
      <c r="A935">
        <v>11941</v>
      </c>
      <c r="B935" t="s">
        <v>42</v>
      </c>
      <c r="C935" t="s">
        <v>44</v>
      </c>
      <c r="D935" s="3">
        <v>60000</v>
      </c>
      <c r="E935" s="3" t="s">
        <v>46</v>
      </c>
      <c r="F935">
        <v>0</v>
      </c>
      <c r="G935" t="s">
        <v>21</v>
      </c>
      <c r="H935" t="s">
        <v>16</v>
      </c>
      <c r="I935" t="s">
        <v>7</v>
      </c>
      <c r="J935">
        <v>0</v>
      </c>
      <c r="K935" t="s">
        <v>26</v>
      </c>
      <c r="L935" t="s">
        <v>35</v>
      </c>
      <c r="M935" t="s">
        <v>52</v>
      </c>
      <c r="N935" t="s">
        <v>20</v>
      </c>
    </row>
    <row r="936" spans="1:14">
      <c r="A936">
        <v>14389</v>
      </c>
      <c r="B936" t="s">
        <v>41</v>
      </c>
      <c r="C936" t="s">
        <v>44</v>
      </c>
      <c r="D936" s="3">
        <v>60000</v>
      </c>
      <c r="E936" s="3" t="s">
        <v>46</v>
      </c>
      <c r="F936">
        <v>2</v>
      </c>
      <c r="G936" t="s">
        <v>15</v>
      </c>
      <c r="H936" t="s">
        <v>31</v>
      </c>
      <c r="I936" t="s">
        <v>7</v>
      </c>
      <c r="J936">
        <v>0</v>
      </c>
      <c r="K936" t="s">
        <v>24</v>
      </c>
      <c r="L936" t="s">
        <v>35</v>
      </c>
      <c r="M936" t="s">
        <v>50</v>
      </c>
      <c r="N936" t="s">
        <v>20</v>
      </c>
    </row>
    <row r="937" spans="1:14">
      <c r="A937">
        <v>18050</v>
      </c>
      <c r="B937" t="s">
        <v>41</v>
      </c>
      <c r="C937" t="s">
        <v>43</v>
      </c>
      <c r="D937" s="3">
        <v>60000</v>
      </c>
      <c r="E937" s="3" t="s">
        <v>46</v>
      </c>
      <c r="F937">
        <v>1</v>
      </c>
      <c r="G937" t="s">
        <v>21</v>
      </c>
      <c r="H937" t="s">
        <v>16</v>
      </c>
      <c r="I937" t="s">
        <v>7</v>
      </c>
      <c r="J937">
        <v>1</v>
      </c>
      <c r="K937" t="s">
        <v>18</v>
      </c>
      <c r="L937" t="s">
        <v>35</v>
      </c>
      <c r="M937" t="s">
        <v>51</v>
      </c>
      <c r="N937" t="s">
        <v>17</v>
      </c>
    </row>
    <row r="938" spans="1:14">
      <c r="A938">
        <v>19856</v>
      </c>
      <c r="B938" t="s">
        <v>41</v>
      </c>
      <c r="C938" t="s">
        <v>43</v>
      </c>
      <c r="D938" s="3">
        <v>60000</v>
      </c>
      <c r="E938" s="3" t="s">
        <v>46</v>
      </c>
      <c r="F938">
        <v>4</v>
      </c>
      <c r="G938" t="s">
        <v>15</v>
      </c>
      <c r="H938" t="s">
        <v>31</v>
      </c>
      <c r="I938" t="s">
        <v>7</v>
      </c>
      <c r="J938">
        <v>2</v>
      </c>
      <c r="K938" t="s">
        <v>24</v>
      </c>
      <c r="L938" t="s">
        <v>35</v>
      </c>
      <c r="M938" t="s">
        <v>50</v>
      </c>
      <c r="N938" t="s">
        <v>20</v>
      </c>
    </row>
    <row r="939" spans="1:14">
      <c r="A939">
        <v>11663</v>
      </c>
      <c r="B939" t="s">
        <v>41</v>
      </c>
      <c r="C939" t="s">
        <v>44</v>
      </c>
      <c r="D939" s="3">
        <v>70000</v>
      </c>
      <c r="E939" s="3" t="s">
        <v>46</v>
      </c>
      <c r="F939">
        <v>4</v>
      </c>
      <c r="G939" t="s">
        <v>34</v>
      </c>
      <c r="H939" t="s">
        <v>23</v>
      </c>
      <c r="I939" t="s">
        <v>7</v>
      </c>
      <c r="J939">
        <v>0</v>
      </c>
      <c r="K939" t="s">
        <v>18</v>
      </c>
      <c r="L939" t="s">
        <v>35</v>
      </c>
      <c r="M939" t="s">
        <v>49</v>
      </c>
      <c r="N939" t="s">
        <v>17</v>
      </c>
    </row>
    <row r="940" spans="1:14">
      <c r="A940">
        <v>27740</v>
      </c>
      <c r="B940" t="s">
        <v>41</v>
      </c>
      <c r="C940" t="s">
        <v>43</v>
      </c>
      <c r="D940" s="3">
        <v>40000</v>
      </c>
      <c r="E940" s="3" t="s">
        <v>45</v>
      </c>
      <c r="F940">
        <v>0</v>
      </c>
      <c r="G940" t="s">
        <v>30</v>
      </c>
      <c r="H940" t="s">
        <v>16</v>
      </c>
      <c r="I940" t="s">
        <v>7</v>
      </c>
      <c r="J940">
        <v>2</v>
      </c>
      <c r="K940" t="s">
        <v>26</v>
      </c>
      <c r="L940" t="s">
        <v>35</v>
      </c>
      <c r="M940" t="s">
        <v>52</v>
      </c>
      <c r="N940" t="s">
        <v>20</v>
      </c>
    </row>
    <row r="941" spans="1:14">
      <c r="A941">
        <v>23455</v>
      </c>
      <c r="B941" t="s">
        <v>42</v>
      </c>
      <c r="C941" t="s">
        <v>44</v>
      </c>
      <c r="D941" s="3">
        <v>80000</v>
      </c>
      <c r="E941" s="3" t="s">
        <v>46</v>
      </c>
      <c r="F941">
        <v>2</v>
      </c>
      <c r="G941" t="s">
        <v>32</v>
      </c>
      <c r="H941" t="s">
        <v>16</v>
      </c>
      <c r="I941" t="s">
        <v>48</v>
      </c>
      <c r="J941">
        <v>2</v>
      </c>
      <c r="K941" t="s">
        <v>29</v>
      </c>
      <c r="L941" t="s">
        <v>35</v>
      </c>
      <c r="M941" t="s">
        <v>51</v>
      </c>
      <c r="N941" t="s">
        <v>20</v>
      </c>
    </row>
    <row r="942" spans="1:14">
      <c r="A942">
        <v>15292</v>
      </c>
      <c r="B942" t="s">
        <v>42</v>
      </c>
      <c r="C942" t="s">
        <v>43</v>
      </c>
      <c r="D942" s="3">
        <v>60000</v>
      </c>
      <c r="E942" s="3" t="s">
        <v>46</v>
      </c>
      <c r="F942">
        <v>1</v>
      </c>
      <c r="G942" t="s">
        <v>34</v>
      </c>
      <c r="H942" t="s">
        <v>16</v>
      </c>
      <c r="I942" t="s">
        <v>7</v>
      </c>
      <c r="J942">
        <v>0</v>
      </c>
      <c r="K942" t="s">
        <v>29</v>
      </c>
      <c r="L942" t="s">
        <v>35</v>
      </c>
      <c r="M942" t="s">
        <v>49</v>
      </c>
      <c r="N942" t="s">
        <v>20</v>
      </c>
    </row>
    <row r="943" spans="1:14">
      <c r="A943">
        <v>21587</v>
      </c>
      <c r="B943" t="s">
        <v>41</v>
      </c>
      <c r="C943" t="s">
        <v>43</v>
      </c>
      <c r="D943" s="3">
        <v>60000</v>
      </c>
      <c r="E943" s="3" t="s">
        <v>46</v>
      </c>
      <c r="F943">
        <v>1</v>
      </c>
      <c r="G943" t="s">
        <v>34</v>
      </c>
      <c r="H943" t="s">
        <v>16</v>
      </c>
      <c r="I943" t="s">
        <v>7</v>
      </c>
      <c r="J943">
        <v>0</v>
      </c>
      <c r="K943" t="s">
        <v>24</v>
      </c>
      <c r="L943" t="s">
        <v>35</v>
      </c>
      <c r="M943" t="s">
        <v>52</v>
      </c>
      <c r="N943" t="s">
        <v>17</v>
      </c>
    </row>
    <row r="944" spans="1:14">
      <c r="A944">
        <v>23513</v>
      </c>
      <c r="B944" t="s">
        <v>41</v>
      </c>
      <c r="C944" t="s">
        <v>43</v>
      </c>
      <c r="D944" s="3">
        <v>40000</v>
      </c>
      <c r="E944" s="3" t="s">
        <v>45</v>
      </c>
      <c r="F944">
        <v>3</v>
      </c>
      <c r="G944" t="s">
        <v>21</v>
      </c>
      <c r="H944" t="s">
        <v>23</v>
      </c>
      <c r="I944" t="s">
        <v>7</v>
      </c>
      <c r="J944">
        <v>2</v>
      </c>
      <c r="K944" t="s">
        <v>26</v>
      </c>
      <c r="L944" t="s">
        <v>35</v>
      </c>
      <c r="M944" t="s">
        <v>51</v>
      </c>
      <c r="N944" t="s">
        <v>20</v>
      </c>
    </row>
    <row r="945" spans="1:14">
      <c r="A945">
        <v>24322</v>
      </c>
      <c r="B945" t="s">
        <v>41</v>
      </c>
      <c r="C945" t="s">
        <v>43</v>
      </c>
      <c r="D945" s="3">
        <v>60000</v>
      </c>
      <c r="E945" s="3" t="s">
        <v>46</v>
      </c>
      <c r="F945">
        <v>4</v>
      </c>
      <c r="G945" t="s">
        <v>15</v>
      </c>
      <c r="H945" t="s">
        <v>16</v>
      </c>
      <c r="I945" t="s">
        <v>48</v>
      </c>
      <c r="J945">
        <v>2</v>
      </c>
      <c r="K945" t="s">
        <v>18</v>
      </c>
      <c r="L945" t="s">
        <v>35</v>
      </c>
      <c r="M945" t="s">
        <v>49</v>
      </c>
      <c r="N945" t="s">
        <v>20</v>
      </c>
    </row>
    <row r="946" spans="1:14">
      <c r="A946">
        <v>26298</v>
      </c>
      <c r="B946" t="s">
        <v>41</v>
      </c>
      <c r="C946" t="s">
        <v>43</v>
      </c>
      <c r="D946" s="3">
        <v>50000</v>
      </c>
      <c r="E946" s="3" t="s">
        <v>45</v>
      </c>
      <c r="F946">
        <v>1</v>
      </c>
      <c r="G946" t="s">
        <v>15</v>
      </c>
      <c r="H946" t="s">
        <v>16</v>
      </c>
      <c r="I946" t="s">
        <v>7</v>
      </c>
      <c r="J946">
        <v>0</v>
      </c>
      <c r="K946" t="s">
        <v>24</v>
      </c>
      <c r="L946" t="s">
        <v>35</v>
      </c>
      <c r="M946" t="s">
        <v>52</v>
      </c>
      <c r="N946" t="s">
        <v>17</v>
      </c>
    </row>
    <row r="947" spans="1:14">
      <c r="A947">
        <v>25419</v>
      </c>
      <c r="B947" t="s">
        <v>42</v>
      </c>
      <c r="C947" t="s">
        <v>44</v>
      </c>
      <c r="D947" s="3">
        <v>50000</v>
      </c>
      <c r="E947" s="3" t="s">
        <v>45</v>
      </c>
      <c r="F947">
        <v>2</v>
      </c>
      <c r="G947" t="s">
        <v>15</v>
      </c>
      <c r="H947" t="s">
        <v>16</v>
      </c>
      <c r="I947" t="s">
        <v>48</v>
      </c>
      <c r="J947">
        <v>1</v>
      </c>
      <c r="K947" t="s">
        <v>18</v>
      </c>
      <c r="L947" t="s">
        <v>35</v>
      </c>
      <c r="M947" t="s">
        <v>49</v>
      </c>
      <c r="N947" t="s">
        <v>17</v>
      </c>
    </row>
    <row r="948" spans="1:14">
      <c r="A948">
        <v>13343</v>
      </c>
      <c r="B948" t="s">
        <v>41</v>
      </c>
      <c r="C948" t="s">
        <v>43</v>
      </c>
      <c r="D948" s="3">
        <v>90000</v>
      </c>
      <c r="E948" s="3" t="s">
        <v>46</v>
      </c>
      <c r="F948">
        <v>5</v>
      </c>
      <c r="G948" t="s">
        <v>15</v>
      </c>
      <c r="H948" t="s">
        <v>31</v>
      </c>
      <c r="I948" t="s">
        <v>7</v>
      </c>
      <c r="J948">
        <v>2</v>
      </c>
      <c r="K948" t="s">
        <v>29</v>
      </c>
      <c r="L948" t="s">
        <v>35</v>
      </c>
      <c r="M948" t="s">
        <v>50</v>
      </c>
      <c r="N948" t="s">
        <v>17</v>
      </c>
    </row>
    <row r="949" spans="1:14">
      <c r="A949">
        <v>11303</v>
      </c>
      <c r="B949" t="s">
        <v>42</v>
      </c>
      <c r="C949" t="s">
        <v>43</v>
      </c>
      <c r="D949" s="3">
        <v>90000</v>
      </c>
      <c r="E949" s="3" t="s">
        <v>46</v>
      </c>
      <c r="F949">
        <v>4</v>
      </c>
      <c r="G949" t="s">
        <v>30</v>
      </c>
      <c r="H949" t="s">
        <v>23</v>
      </c>
      <c r="I949" t="s">
        <v>48</v>
      </c>
      <c r="J949">
        <v>3</v>
      </c>
      <c r="K949" t="s">
        <v>29</v>
      </c>
      <c r="L949" t="s">
        <v>35</v>
      </c>
      <c r="M949" t="s">
        <v>51</v>
      </c>
      <c r="N949" t="s">
        <v>17</v>
      </c>
    </row>
    <row r="950" spans="1:14">
      <c r="A950">
        <v>21693</v>
      </c>
      <c r="B950" t="s">
        <v>42</v>
      </c>
      <c r="C950" t="s">
        <v>43</v>
      </c>
      <c r="D950" s="3">
        <v>60000</v>
      </c>
      <c r="E950" s="3" t="s">
        <v>46</v>
      </c>
      <c r="F950">
        <v>0</v>
      </c>
      <c r="G950" t="s">
        <v>34</v>
      </c>
      <c r="H950" t="s">
        <v>16</v>
      </c>
      <c r="I950" t="s">
        <v>48</v>
      </c>
      <c r="J950">
        <v>0</v>
      </c>
      <c r="K950" t="s">
        <v>18</v>
      </c>
      <c r="L950" t="s">
        <v>35</v>
      </c>
      <c r="M950" t="s">
        <v>49</v>
      </c>
      <c r="N950" t="s">
        <v>20</v>
      </c>
    </row>
    <row r="951" spans="1:14">
      <c r="A951">
        <v>28056</v>
      </c>
      <c r="B951" t="s">
        <v>41</v>
      </c>
      <c r="C951" t="s">
        <v>44</v>
      </c>
      <c r="D951" s="3">
        <v>70000</v>
      </c>
      <c r="E951" s="3" t="s">
        <v>46</v>
      </c>
      <c r="F951">
        <v>2</v>
      </c>
      <c r="G951" t="s">
        <v>32</v>
      </c>
      <c r="H951" t="s">
        <v>16</v>
      </c>
      <c r="I951" t="s">
        <v>7</v>
      </c>
      <c r="J951">
        <v>2</v>
      </c>
      <c r="K951" t="s">
        <v>33</v>
      </c>
      <c r="L951" t="s">
        <v>35</v>
      </c>
      <c r="M951" t="s">
        <v>51</v>
      </c>
      <c r="N951" t="s">
        <v>20</v>
      </c>
    </row>
    <row r="952" spans="1:14">
      <c r="A952">
        <v>11788</v>
      </c>
      <c r="B952" t="s">
        <v>42</v>
      </c>
      <c r="C952" t="s">
        <v>43</v>
      </c>
      <c r="D952" s="3">
        <v>70000</v>
      </c>
      <c r="E952" s="3" t="s">
        <v>46</v>
      </c>
      <c r="F952">
        <v>1</v>
      </c>
      <c r="G952" t="s">
        <v>34</v>
      </c>
      <c r="H952" t="s">
        <v>23</v>
      </c>
      <c r="I952" t="s">
        <v>7</v>
      </c>
      <c r="J952">
        <v>0</v>
      </c>
      <c r="K952" t="s">
        <v>24</v>
      </c>
      <c r="L952" t="s">
        <v>35</v>
      </c>
      <c r="M952" t="s">
        <v>52</v>
      </c>
      <c r="N952" t="s">
        <v>20</v>
      </c>
    </row>
    <row r="953" spans="1:14">
      <c r="A953">
        <v>22296</v>
      </c>
      <c r="B953" t="s">
        <v>41</v>
      </c>
      <c r="C953" t="s">
        <v>44</v>
      </c>
      <c r="D953" s="3">
        <v>70000</v>
      </c>
      <c r="E953" s="3" t="s">
        <v>46</v>
      </c>
      <c r="F953">
        <v>0</v>
      </c>
      <c r="G953" t="s">
        <v>15</v>
      </c>
      <c r="H953" t="s">
        <v>23</v>
      </c>
      <c r="I953" t="s">
        <v>48</v>
      </c>
      <c r="J953">
        <v>1</v>
      </c>
      <c r="K953" t="s">
        <v>18</v>
      </c>
      <c r="L953" t="s">
        <v>35</v>
      </c>
      <c r="M953" t="s">
        <v>49</v>
      </c>
      <c r="N953" t="s">
        <v>20</v>
      </c>
    </row>
    <row r="954" spans="1:14">
      <c r="A954">
        <v>15319</v>
      </c>
      <c r="B954" t="s">
        <v>41</v>
      </c>
      <c r="C954" t="s">
        <v>43</v>
      </c>
      <c r="D954" s="3">
        <v>70000</v>
      </c>
      <c r="E954" s="3" t="s">
        <v>46</v>
      </c>
      <c r="F954">
        <v>4</v>
      </c>
      <c r="G954" t="s">
        <v>15</v>
      </c>
      <c r="H954" t="s">
        <v>31</v>
      </c>
      <c r="I954" t="s">
        <v>48</v>
      </c>
      <c r="J954">
        <v>1</v>
      </c>
      <c r="K954" t="s">
        <v>29</v>
      </c>
      <c r="L954" t="s">
        <v>35</v>
      </c>
      <c r="M954" t="s">
        <v>50</v>
      </c>
      <c r="N954" t="s">
        <v>20</v>
      </c>
    </row>
    <row r="955" spans="1:14">
      <c r="A955">
        <v>17654</v>
      </c>
      <c r="B955" t="s">
        <v>42</v>
      </c>
      <c r="C955" t="s">
        <v>43</v>
      </c>
      <c r="D955" s="3">
        <v>40000</v>
      </c>
      <c r="E955" s="3" t="s">
        <v>45</v>
      </c>
      <c r="F955">
        <v>3</v>
      </c>
      <c r="G955" t="s">
        <v>21</v>
      </c>
      <c r="H955" t="s">
        <v>22</v>
      </c>
      <c r="I955" t="s">
        <v>7</v>
      </c>
      <c r="J955">
        <v>1</v>
      </c>
      <c r="K955" t="s">
        <v>29</v>
      </c>
      <c r="L955" t="s">
        <v>35</v>
      </c>
      <c r="M955" t="s">
        <v>52</v>
      </c>
      <c r="N955" t="s">
        <v>17</v>
      </c>
    </row>
    <row r="956" spans="1:14">
      <c r="A956">
        <v>14662</v>
      </c>
      <c r="B956" t="s">
        <v>41</v>
      </c>
      <c r="C956" t="s">
        <v>44</v>
      </c>
      <c r="D956" s="3">
        <v>60000</v>
      </c>
      <c r="E956" s="3" t="s">
        <v>46</v>
      </c>
      <c r="F956">
        <v>1</v>
      </c>
      <c r="G956" t="s">
        <v>15</v>
      </c>
      <c r="H956" t="s">
        <v>23</v>
      </c>
      <c r="I956" t="s">
        <v>7</v>
      </c>
      <c r="J956">
        <v>1</v>
      </c>
      <c r="K956" t="s">
        <v>18</v>
      </c>
      <c r="L956" t="s">
        <v>35</v>
      </c>
      <c r="M956" t="s">
        <v>51</v>
      </c>
      <c r="N956" t="s">
        <v>17</v>
      </c>
    </row>
    <row r="957" spans="1:14">
      <c r="A957">
        <v>17541</v>
      </c>
      <c r="B957" t="s">
        <v>41</v>
      </c>
      <c r="C957" t="s">
        <v>43</v>
      </c>
      <c r="D957" s="3">
        <v>40000</v>
      </c>
      <c r="E957" s="3" t="s">
        <v>45</v>
      </c>
      <c r="F957">
        <v>4</v>
      </c>
      <c r="G957" t="s">
        <v>30</v>
      </c>
      <c r="H957" t="s">
        <v>16</v>
      </c>
      <c r="I957" t="s">
        <v>7</v>
      </c>
      <c r="J957">
        <v>2</v>
      </c>
      <c r="K957" t="s">
        <v>24</v>
      </c>
      <c r="L957" t="s">
        <v>35</v>
      </c>
      <c r="M957" t="s">
        <v>49</v>
      </c>
      <c r="N957" t="s">
        <v>20</v>
      </c>
    </row>
    <row r="958" spans="1:14">
      <c r="A958">
        <v>13886</v>
      </c>
      <c r="B958" t="s">
        <v>41</v>
      </c>
      <c r="C958" t="s">
        <v>43</v>
      </c>
      <c r="D958" s="3">
        <v>70000</v>
      </c>
      <c r="E958" s="3" t="s">
        <v>46</v>
      </c>
      <c r="F958">
        <v>4</v>
      </c>
      <c r="G958" t="s">
        <v>34</v>
      </c>
      <c r="H958" t="s">
        <v>23</v>
      </c>
      <c r="I958" t="s">
        <v>7</v>
      </c>
      <c r="J958">
        <v>0</v>
      </c>
      <c r="K958" t="s">
        <v>24</v>
      </c>
      <c r="L958" t="s">
        <v>35</v>
      </c>
      <c r="M958" t="s">
        <v>49</v>
      </c>
      <c r="N958" t="s">
        <v>17</v>
      </c>
    </row>
    <row r="959" spans="1:14">
      <c r="A959">
        <v>13073</v>
      </c>
      <c r="B959" t="s">
        <v>41</v>
      </c>
      <c r="C959" t="s">
        <v>43</v>
      </c>
      <c r="D959" s="3">
        <v>60000</v>
      </c>
      <c r="E959" s="3" t="s">
        <v>46</v>
      </c>
      <c r="F959">
        <v>0</v>
      </c>
      <c r="G959" t="s">
        <v>21</v>
      </c>
      <c r="H959" t="s">
        <v>23</v>
      </c>
      <c r="I959" t="s">
        <v>7</v>
      </c>
      <c r="J959">
        <v>2</v>
      </c>
      <c r="K959" t="s">
        <v>26</v>
      </c>
      <c r="L959" t="s">
        <v>35</v>
      </c>
      <c r="M959" t="s">
        <v>52</v>
      </c>
      <c r="N959" t="s">
        <v>20</v>
      </c>
    </row>
    <row r="960" spans="1:14">
      <c r="A960">
        <v>21940</v>
      </c>
      <c r="B960" t="s">
        <v>41</v>
      </c>
      <c r="C960" t="s">
        <v>44</v>
      </c>
      <c r="D960" s="3">
        <v>90000</v>
      </c>
      <c r="E960" s="3" t="s">
        <v>46</v>
      </c>
      <c r="F960">
        <v>5</v>
      </c>
      <c r="G960" t="s">
        <v>34</v>
      </c>
      <c r="H960" t="s">
        <v>23</v>
      </c>
      <c r="I960" t="s">
        <v>7</v>
      </c>
      <c r="J960">
        <v>0</v>
      </c>
      <c r="K960" t="s">
        <v>18</v>
      </c>
      <c r="L960" t="s">
        <v>35</v>
      </c>
      <c r="M960" t="s">
        <v>51</v>
      </c>
      <c r="N960" t="s">
        <v>17</v>
      </c>
    </row>
    <row r="961" spans="1:14">
      <c r="A961">
        <v>20196</v>
      </c>
      <c r="B961" t="s">
        <v>41</v>
      </c>
      <c r="C961" t="s">
        <v>44</v>
      </c>
      <c r="D961" s="3">
        <v>60000</v>
      </c>
      <c r="E961" s="3" t="s">
        <v>46</v>
      </c>
      <c r="F961">
        <v>1</v>
      </c>
      <c r="G961" t="s">
        <v>21</v>
      </c>
      <c r="H961" t="s">
        <v>16</v>
      </c>
      <c r="I961" t="s">
        <v>7</v>
      </c>
      <c r="J961">
        <v>1</v>
      </c>
      <c r="K961" t="s">
        <v>24</v>
      </c>
      <c r="L961" t="s">
        <v>35</v>
      </c>
      <c r="M961" t="s">
        <v>51</v>
      </c>
      <c r="N961" t="s">
        <v>17</v>
      </c>
    </row>
    <row r="962" spans="1:14">
      <c r="A962">
        <v>23491</v>
      </c>
      <c r="B962" t="s">
        <v>42</v>
      </c>
      <c r="C962" t="s">
        <v>44</v>
      </c>
      <c r="D962" s="3">
        <v>100000</v>
      </c>
      <c r="E962" s="3" t="s">
        <v>46</v>
      </c>
      <c r="F962">
        <v>0</v>
      </c>
      <c r="G962" t="s">
        <v>21</v>
      </c>
      <c r="H962" t="s">
        <v>23</v>
      </c>
      <c r="I962" t="s">
        <v>48</v>
      </c>
      <c r="J962">
        <v>4</v>
      </c>
      <c r="K962" t="s">
        <v>29</v>
      </c>
      <c r="L962" t="s">
        <v>35</v>
      </c>
      <c r="M962" t="s">
        <v>51</v>
      </c>
      <c r="N962" t="s">
        <v>20</v>
      </c>
    </row>
    <row r="963" spans="1:14">
      <c r="A963">
        <v>16651</v>
      </c>
      <c r="B963" t="s">
        <v>41</v>
      </c>
      <c r="C963" t="s">
        <v>43</v>
      </c>
      <c r="D963" s="3">
        <v>120000</v>
      </c>
      <c r="E963" s="3" t="s">
        <v>47</v>
      </c>
      <c r="F963">
        <v>2</v>
      </c>
      <c r="G963" t="s">
        <v>15</v>
      </c>
      <c r="H963" t="s">
        <v>31</v>
      </c>
      <c r="I963" t="s">
        <v>7</v>
      </c>
      <c r="J963">
        <v>3</v>
      </c>
      <c r="K963" t="s">
        <v>26</v>
      </c>
      <c r="L963" t="s">
        <v>35</v>
      </c>
      <c r="M963" t="s">
        <v>50</v>
      </c>
      <c r="N963" t="s">
        <v>20</v>
      </c>
    </row>
    <row r="964" spans="1:14">
      <c r="A964">
        <v>16813</v>
      </c>
      <c r="B964" t="s">
        <v>41</v>
      </c>
      <c r="C964" t="s">
        <v>44</v>
      </c>
      <c r="D964" s="3">
        <v>60000</v>
      </c>
      <c r="E964" s="3" t="s">
        <v>46</v>
      </c>
      <c r="F964">
        <v>2</v>
      </c>
      <c r="G964" t="s">
        <v>21</v>
      </c>
      <c r="H964" t="s">
        <v>23</v>
      </c>
      <c r="I964" t="s">
        <v>7</v>
      </c>
      <c r="J964">
        <v>2</v>
      </c>
      <c r="K964" t="s">
        <v>33</v>
      </c>
      <c r="L964" t="s">
        <v>35</v>
      </c>
      <c r="M964" t="s">
        <v>50</v>
      </c>
      <c r="N964" t="s">
        <v>20</v>
      </c>
    </row>
    <row r="965" spans="1:14">
      <c r="A965">
        <v>16007</v>
      </c>
      <c r="B965" t="s">
        <v>41</v>
      </c>
      <c r="C965" t="s">
        <v>43</v>
      </c>
      <c r="D965" s="3">
        <v>90000</v>
      </c>
      <c r="E965" s="3" t="s">
        <v>46</v>
      </c>
      <c r="F965">
        <v>5</v>
      </c>
      <c r="G965" t="s">
        <v>15</v>
      </c>
      <c r="H965" t="s">
        <v>31</v>
      </c>
      <c r="I965" t="s">
        <v>7</v>
      </c>
      <c r="J965">
        <v>2</v>
      </c>
      <c r="K965" t="s">
        <v>29</v>
      </c>
      <c r="L965" t="s">
        <v>35</v>
      </c>
      <c r="M965" t="s">
        <v>53</v>
      </c>
      <c r="N965" t="s">
        <v>17</v>
      </c>
    </row>
    <row r="966" spans="1:14">
      <c r="A966">
        <v>27434</v>
      </c>
      <c r="B966" t="s">
        <v>42</v>
      </c>
      <c r="C966" t="s">
        <v>44</v>
      </c>
      <c r="D966" s="3">
        <v>70000</v>
      </c>
      <c r="E966" s="3" t="s">
        <v>46</v>
      </c>
      <c r="F966">
        <v>4</v>
      </c>
      <c r="G966" t="s">
        <v>21</v>
      </c>
      <c r="H966" t="s">
        <v>23</v>
      </c>
      <c r="I966" t="s">
        <v>7</v>
      </c>
      <c r="J966">
        <v>1</v>
      </c>
      <c r="K966" t="s">
        <v>33</v>
      </c>
      <c r="L966" t="s">
        <v>35</v>
      </c>
      <c r="M966" t="s">
        <v>50</v>
      </c>
      <c r="N966" t="s">
        <v>20</v>
      </c>
    </row>
    <row r="967" spans="1:14">
      <c r="A967">
        <v>27756</v>
      </c>
      <c r="B967" t="s">
        <v>42</v>
      </c>
      <c r="C967" t="s">
        <v>43</v>
      </c>
      <c r="D967" s="3">
        <v>50000</v>
      </c>
      <c r="E967" s="3" t="s">
        <v>45</v>
      </c>
      <c r="F967">
        <v>3</v>
      </c>
      <c r="G967" t="s">
        <v>15</v>
      </c>
      <c r="H967" t="s">
        <v>16</v>
      </c>
      <c r="I967" t="s">
        <v>48</v>
      </c>
      <c r="J967">
        <v>1</v>
      </c>
      <c r="K967" t="s">
        <v>18</v>
      </c>
      <c r="L967" t="s">
        <v>35</v>
      </c>
      <c r="M967" t="s">
        <v>49</v>
      </c>
      <c r="N967" t="s">
        <v>20</v>
      </c>
    </row>
    <row r="968" spans="1:14">
      <c r="A968">
        <v>23818</v>
      </c>
      <c r="B968" t="s">
        <v>41</v>
      </c>
      <c r="C968" t="s">
        <v>43</v>
      </c>
      <c r="D968" s="3">
        <v>50000</v>
      </c>
      <c r="E968" s="3" t="s">
        <v>45</v>
      </c>
      <c r="F968">
        <v>0</v>
      </c>
      <c r="G968" t="s">
        <v>34</v>
      </c>
      <c r="H968" t="s">
        <v>16</v>
      </c>
      <c r="I968" t="s">
        <v>7</v>
      </c>
      <c r="J968">
        <v>0</v>
      </c>
      <c r="K968" t="s">
        <v>29</v>
      </c>
      <c r="L968" t="s">
        <v>35</v>
      </c>
      <c r="M968" t="s">
        <v>52</v>
      </c>
      <c r="N968" t="s">
        <v>17</v>
      </c>
    </row>
    <row r="969" spans="1:14">
      <c r="A969">
        <v>19012</v>
      </c>
      <c r="B969" t="s">
        <v>41</v>
      </c>
      <c r="C969" t="s">
        <v>44</v>
      </c>
      <c r="D969" s="3">
        <v>80000</v>
      </c>
      <c r="E969" s="3" t="s">
        <v>46</v>
      </c>
      <c r="F969">
        <v>3</v>
      </c>
      <c r="G969" t="s">
        <v>15</v>
      </c>
      <c r="H969" t="s">
        <v>31</v>
      </c>
      <c r="I969" t="s">
        <v>7</v>
      </c>
      <c r="J969">
        <v>1</v>
      </c>
      <c r="K969" t="s">
        <v>29</v>
      </c>
      <c r="L969" t="s">
        <v>35</v>
      </c>
      <c r="M969" t="s">
        <v>50</v>
      </c>
      <c r="N969" t="s">
        <v>20</v>
      </c>
    </row>
    <row r="970" spans="1:14">
      <c r="A970">
        <v>18329</v>
      </c>
      <c r="B970" t="s">
        <v>42</v>
      </c>
      <c r="C970" t="s">
        <v>44</v>
      </c>
      <c r="D970" s="3">
        <v>30000</v>
      </c>
      <c r="E970" s="3" t="s">
        <v>45</v>
      </c>
      <c r="F970">
        <v>0</v>
      </c>
      <c r="G970" t="s">
        <v>32</v>
      </c>
      <c r="H970" t="s">
        <v>22</v>
      </c>
      <c r="I970" t="s">
        <v>48</v>
      </c>
      <c r="J970">
        <v>2</v>
      </c>
      <c r="K970" t="s">
        <v>26</v>
      </c>
      <c r="L970" t="s">
        <v>35</v>
      </c>
      <c r="M970" t="s">
        <v>52</v>
      </c>
      <c r="N970" t="s">
        <v>20</v>
      </c>
    </row>
    <row r="971" spans="1:14">
      <c r="A971">
        <v>29037</v>
      </c>
      <c r="B971" t="s">
        <v>41</v>
      </c>
      <c r="C971" t="s">
        <v>44</v>
      </c>
      <c r="D971" s="3">
        <v>60000</v>
      </c>
      <c r="E971" s="3" t="s">
        <v>46</v>
      </c>
      <c r="F971">
        <v>0</v>
      </c>
      <c r="G971" t="s">
        <v>34</v>
      </c>
      <c r="H971" t="s">
        <v>23</v>
      </c>
      <c r="I971" t="s">
        <v>48</v>
      </c>
      <c r="J971">
        <v>0</v>
      </c>
      <c r="K971" t="s">
        <v>18</v>
      </c>
      <c r="L971" t="s">
        <v>35</v>
      </c>
      <c r="M971" t="s">
        <v>49</v>
      </c>
      <c r="N971" t="s">
        <v>20</v>
      </c>
    </row>
    <row r="972" spans="1:14">
      <c r="A972">
        <v>26576</v>
      </c>
      <c r="B972" t="s">
        <v>41</v>
      </c>
      <c r="C972" t="s">
        <v>43</v>
      </c>
      <c r="D972" s="3">
        <v>60000</v>
      </c>
      <c r="E972" s="3" t="s">
        <v>46</v>
      </c>
      <c r="F972">
        <v>0</v>
      </c>
      <c r="G972" t="s">
        <v>21</v>
      </c>
      <c r="H972" t="s">
        <v>16</v>
      </c>
      <c r="I972" t="s">
        <v>7</v>
      </c>
      <c r="J972">
        <v>2</v>
      </c>
      <c r="K972" t="s">
        <v>26</v>
      </c>
      <c r="L972" t="s">
        <v>35</v>
      </c>
      <c r="M972" t="s">
        <v>52</v>
      </c>
      <c r="N972" t="s">
        <v>20</v>
      </c>
    </row>
    <row r="973" spans="1:14">
      <c r="A973">
        <v>12192</v>
      </c>
      <c r="B973" t="s">
        <v>42</v>
      </c>
      <c r="C973" t="s">
        <v>43</v>
      </c>
      <c r="D973" s="3">
        <v>60000</v>
      </c>
      <c r="E973" s="3" t="s">
        <v>46</v>
      </c>
      <c r="F973">
        <v>2</v>
      </c>
      <c r="G973" t="s">
        <v>32</v>
      </c>
      <c r="H973" t="s">
        <v>16</v>
      </c>
      <c r="I973" t="s">
        <v>48</v>
      </c>
      <c r="J973">
        <v>2</v>
      </c>
      <c r="K973" t="s">
        <v>29</v>
      </c>
      <c r="L973" t="s">
        <v>35</v>
      </c>
      <c r="M973" t="s">
        <v>51</v>
      </c>
      <c r="N973" t="s">
        <v>20</v>
      </c>
    </row>
    <row r="974" spans="1:14">
      <c r="A974">
        <v>14887</v>
      </c>
      <c r="B974" t="s">
        <v>41</v>
      </c>
      <c r="C974" t="s">
        <v>43</v>
      </c>
      <c r="D974" s="3">
        <v>30000</v>
      </c>
      <c r="E974" s="3" t="s">
        <v>45</v>
      </c>
      <c r="F974">
        <v>1</v>
      </c>
      <c r="G974" t="s">
        <v>30</v>
      </c>
      <c r="H974" t="s">
        <v>22</v>
      </c>
      <c r="I974" t="s">
        <v>7</v>
      </c>
      <c r="J974">
        <v>1</v>
      </c>
      <c r="K974" t="s">
        <v>26</v>
      </c>
      <c r="L974" t="s">
        <v>35</v>
      </c>
      <c r="M974" t="s">
        <v>51</v>
      </c>
      <c r="N974" t="s">
        <v>20</v>
      </c>
    </row>
    <row r="975" spans="1:14">
      <c r="A975">
        <v>11734</v>
      </c>
      <c r="B975" t="s">
        <v>41</v>
      </c>
      <c r="C975" t="s">
        <v>44</v>
      </c>
      <c r="D975" s="3">
        <v>60000</v>
      </c>
      <c r="E975" s="3" t="s">
        <v>46</v>
      </c>
      <c r="F975">
        <v>1</v>
      </c>
      <c r="G975" t="s">
        <v>21</v>
      </c>
      <c r="H975" t="s">
        <v>16</v>
      </c>
      <c r="I975" t="s">
        <v>48</v>
      </c>
      <c r="J975">
        <v>1</v>
      </c>
      <c r="K975" t="s">
        <v>18</v>
      </c>
      <c r="L975" t="s">
        <v>35</v>
      </c>
      <c r="M975" t="s">
        <v>51</v>
      </c>
      <c r="N975" t="s">
        <v>20</v>
      </c>
    </row>
    <row r="976" spans="1:14">
      <c r="A976">
        <v>17462</v>
      </c>
      <c r="B976" t="s">
        <v>41</v>
      </c>
      <c r="C976" t="s">
        <v>44</v>
      </c>
      <c r="D976" s="3">
        <v>70000</v>
      </c>
      <c r="E976" s="3" t="s">
        <v>46</v>
      </c>
      <c r="F976">
        <v>3</v>
      </c>
      <c r="G976" t="s">
        <v>34</v>
      </c>
      <c r="H976" t="s">
        <v>31</v>
      </c>
      <c r="I976" t="s">
        <v>7</v>
      </c>
      <c r="J976">
        <v>2</v>
      </c>
      <c r="K976" t="s">
        <v>26</v>
      </c>
      <c r="L976" t="s">
        <v>35</v>
      </c>
      <c r="M976" t="s">
        <v>51</v>
      </c>
      <c r="N976" t="s">
        <v>17</v>
      </c>
    </row>
    <row r="977" spans="1:14">
      <c r="A977">
        <v>20659</v>
      </c>
      <c r="B977" t="s">
        <v>41</v>
      </c>
      <c r="C977" t="s">
        <v>44</v>
      </c>
      <c r="D977" s="3">
        <v>70000</v>
      </c>
      <c r="E977" s="3" t="s">
        <v>46</v>
      </c>
      <c r="F977">
        <v>3</v>
      </c>
      <c r="G977" t="s">
        <v>34</v>
      </c>
      <c r="H977" t="s">
        <v>23</v>
      </c>
      <c r="I977" t="s">
        <v>7</v>
      </c>
      <c r="J977">
        <v>0</v>
      </c>
      <c r="K977" t="s">
        <v>18</v>
      </c>
      <c r="L977" t="s">
        <v>35</v>
      </c>
      <c r="M977" t="s">
        <v>49</v>
      </c>
      <c r="N977" t="s">
        <v>17</v>
      </c>
    </row>
    <row r="978" spans="1:14">
      <c r="A978">
        <v>28004</v>
      </c>
      <c r="B978" t="s">
        <v>41</v>
      </c>
      <c r="C978" t="s">
        <v>43</v>
      </c>
      <c r="D978" s="3">
        <v>60000</v>
      </c>
      <c r="E978" s="3" t="s">
        <v>46</v>
      </c>
      <c r="F978">
        <v>3</v>
      </c>
      <c r="G978" t="s">
        <v>15</v>
      </c>
      <c r="H978" t="s">
        <v>31</v>
      </c>
      <c r="I978" t="s">
        <v>7</v>
      </c>
      <c r="J978">
        <v>2</v>
      </c>
      <c r="K978" t="s">
        <v>33</v>
      </c>
      <c r="L978" t="s">
        <v>35</v>
      </c>
      <c r="M978" t="s">
        <v>53</v>
      </c>
      <c r="N978" t="s">
        <v>20</v>
      </c>
    </row>
    <row r="979" spans="1:14">
      <c r="A979">
        <v>19741</v>
      </c>
      <c r="B979" t="s">
        <v>42</v>
      </c>
      <c r="C979" t="s">
        <v>43</v>
      </c>
      <c r="D979" s="3">
        <v>80000</v>
      </c>
      <c r="E979" s="3" t="s">
        <v>46</v>
      </c>
      <c r="F979">
        <v>4</v>
      </c>
      <c r="G979" t="s">
        <v>34</v>
      </c>
      <c r="H979" t="s">
        <v>31</v>
      </c>
      <c r="I979" t="s">
        <v>7</v>
      </c>
      <c r="J979">
        <v>2</v>
      </c>
      <c r="K979" t="s">
        <v>26</v>
      </c>
      <c r="L979" t="s">
        <v>35</v>
      </c>
      <c r="M979" t="s">
        <v>53</v>
      </c>
      <c r="N979" t="s">
        <v>20</v>
      </c>
    </row>
    <row r="980" spans="1:14">
      <c r="A980">
        <v>17450</v>
      </c>
      <c r="B980" t="s">
        <v>41</v>
      </c>
      <c r="C980" t="s">
        <v>44</v>
      </c>
      <c r="D980" s="3">
        <v>80000</v>
      </c>
      <c r="E980" s="3" t="s">
        <v>46</v>
      </c>
      <c r="F980">
        <v>5</v>
      </c>
      <c r="G980" t="s">
        <v>21</v>
      </c>
      <c r="H980" t="s">
        <v>23</v>
      </c>
      <c r="I980" t="s">
        <v>7</v>
      </c>
      <c r="J980">
        <v>3</v>
      </c>
      <c r="K980" t="s">
        <v>26</v>
      </c>
      <c r="L980" t="s">
        <v>35</v>
      </c>
      <c r="M980" t="s">
        <v>51</v>
      </c>
      <c r="N980" t="s">
        <v>20</v>
      </c>
    </row>
    <row r="981" spans="1:14">
      <c r="A981">
        <v>17337</v>
      </c>
      <c r="B981" t="s">
        <v>42</v>
      </c>
      <c r="C981" t="s">
        <v>44</v>
      </c>
      <c r="D981" s="3">
        <v>40000</v>
      </c>
      <c r="E981" s="3" t="s">
        <v>45</v>
      </c>
      <c r="F981">
        <v>0</v>
      </c>
      <c r="G981" t="s">
        <v>30</v>
      </c>
      <c r="H981" t="s">
        <v>16</v>
      </c>
      <c r="I981" t="s">
        <v>7</v>
      </c>
      <c r="J981">
        <v>1</v>
      </c>
      <c r="K981" t="s">
        <v>26</v>
      </c>
      <c r="L981" t="s">
        <v>35</v>
      </c>
      <c r="M981" t="s">
        <v>52</v>
      </c>
      <c r="N981" t="s">
        <v>20</v>
      </c>
    </row>
    <row r="982" spans="1:14">
      <c r="A982">
        <v>18594</v>
      </c>
      <c r="B982" t="s">
        <v>42</v>
      </c>
      <c r="C982" t="s">
        <v>43</v>
      </c>
      <c r="D982" s="3">
        <v>80000</v>
      </c>
      <c r="E982" s="3" t="s">
        <v>46</v>
      </c>
      <c r="F982">
        <v>3</v>
      </c>
      <c r="G982" t="s">
        <v>15</v>
      </c>
      <c r="H982" t="s">
        <v>16</v>
      </c>
      <c r="I982" t="s">
        <v>7</v>
      </c>
      <c r="J982">
        <v>3</v>
      </c>
      <c r="K982" t="s">
        <v>33</v>
      </c>
      <c r="L982" t="s">
        <v>35</v>
      </c>
      <c r="M982" t="s">
        <v>49</v>
      </c>
      <c r="N982" t="s">
        <v>17</v>
      </c>
    </row>
    <row r="983" spans="1:14">
      <c r="A983">
        <v>15982</v>
      </c>
      <c r="B983" t="s">
        <v>41</v>
      </c>
      <c r="C983" t="s">
        <v>44</v>
      </c>
      <c r="D983" s="3">
        <v>110000</v>
      </c>
      <c r="E983" s="3" t="s">
        <v>46</v>
      </c>
      <c r="F983">
        <v>5</v>
      </c>
      <c r="G983" t="s">
        <v>21</v>
      </c>
      <c r="H983" t="s">
        <v>23</v>
      </c>
      <c r="I983" t="s">
        <v>7</v>
      </c>
      <c r="J983">
        <v>4</v>
      </c>
      <c r="K983" t="s">
        <v>24</v>
      </c>
      <c r="L983" t="s">
        <v>35</v>
      </c>
      <c r="M983" t="s">
        <v>51</v>
      </c>
      <c r="N983" t="s">
        <v>20</v>
      </c>
    </row>
    <row r="984" spans="1:14">
      <c r="A984">
        <v>28625</v>
      </c>
      <c r="B984" t="s">
        <v>42</v>
      </c>
      <c r="C984" t="s">
        <v>44</v>
      </c>
      <c r="D984" s="3">
        <v>40000</v>
      </c>
      <c r="E984" s="3" t="s">
        <v>45</v>
      </c>
      <c r="F984">
        <v>2</v>
      </c>
      <c r="G984" t="s">
        <v>21</v>
      </c>
      <c r="H984" t="s">
        <v>22</v>
      </c>
      <c r="I984" t="s">
        <v>48</v>
      </c>
      <c r="J984">
        <v>1</v>
      </c>
      <c r="K984" t="s">
        <v>29</v>
      </c>
      <c r="L984" t="s">
        <v>35</v>
      </c>
      <c r="M984" t="s">
        <v>51</v>
      </c>
      <c r="N984" t="s">
        <v>17</v>
      </c>
    </row>
    <row r="985" spans="1:14">
      <c r="A985">
        <v>11269</v>
      </c>
      <c r="B985" t="s">
        <v>41</v>
      </c>
      <c r="C985" t="s">
        <v>44</v>
      </c>
      <c r="D985" s="3">
        <v>130000</v>
      </c>
      <c r="E985" s="3" t="s">
        <v>47</v>
      </c>
      <c r="F985">
        <v>2</v>
      </c>
      <c r="G985" t="s">
        <v>34</v>
      </c>
      <c r="H985" t="s">
        <v>31</v>
      </c>
      <c r="I985" t="s">
        <v>7</v>
      </c>
      <c r="J985">
        <v>2</v>
      </c>
      <c r="K985" t="s">
        <v>18</v>
      </c>
      <c r="L985" t="s">
        <v>35</v>
      </c>
      <c r="M985" t="s">
        <v>49</v>
      </c>
      <c r="N985" t="s">
        <v>20</v>
      </c>
    </row>
    <row r="986" spans="1:14">
      <c r="A986">
        <v>25148</v>
      </c>
      <c r="B986" t="s">
        <v>41</v>
      </c>
      <c r="C986" t="s">
        <v>44</v>
      </c>
      <c r="D986" s="3">
        <v>60000</v>
      </c>
      <c r="E986" s="3" t="s">
        <v>46</v>
      </c>
      <c r="F986">
        <v>2</v>
      </c>
      <c r="G986" t="s">
        <v>30</v>
      </c>
      <c r="H986" t="s">
        <v>23</v>
      </c>
      <c r="I986" t="s">
        <v>48</v>
      </c>
      <c r="J986">
        <v>2</v>
      </c>
      <c r="K986" t="s">
        <v>29</v>
      </c>
      <c r="L986" t="s">
        <v>35</v>
      </c>
      <c r="M986" t="s">
        <v>51</v>
      </c>
      <c r="N986" t="s">
        <v>17</v>
      </c>
    </row>
    <row r="987" spans="1:14">
      <c r="A987">
        <v>13920</v>
      </c>
      <c r="B987" t="s">
        <v>42</v>
      </c>
      <c r="C987" t="s">
        <v>43</v>
      </c>
      <c r="D987" s="3">
        <v>50000</v>
      </c>
      <c r="E987" s="3" t="s">
        <v>45</v>
      </c>
      <c r="F987">
        <v>4</v>
      </c>
      <c r="G987" t="s">
        <v>15</v>
      </c>
      <c r="H987" t="s">
        <v>16</v>
      </c>
      <c r="I987" t="s">
        <v>7</v>
      </c>
      <c r="J987">
        <v>2</v>
      </c>
      <c r="K987" t="s">
        <v>18</v>
      </c>
      <c r="L987" t="s">
        <v>35</v>
      </c>
      <c r="M987" t="s">
        <v>49</v>
      </c>
      <c r="N987" t="s">
        <v>20</v>
      </c>
    </row>
    <row r="988" spans="1:14">
      <c r="A988">
        <v>23704</v>
      </c>
      <c r="B988" t="s">
        <v>42</v>
      </c>
      <c r="C988" t="s">
        <v>44</v>
      </c>
      <c r="D988" s="3">
        <v>40000</v>
      </c>
      <c r="E988" s="3" t="s">
        <v>45</v>
      </c>
      <c r="F988">
        <v>5</v>
      </c>
      <c r="G988" t="s">
        <v>30</v>
      </c>
      <c r="H988" t="s">
        <v>23</v>
      </c>
      <c r="I988" t="s">
        <v>7</v>
      </c>
      <c r="J988">
        <v>4</v>
      </c>
      <c r="K988" t="s">
        <v>33</v>
      </c>
      <c r="L988" t="s">
        <v>35</v>
      </c>
      <c r="M988" t="s">
        <v>50</v>
      </c>
      <c r="N988" t="s">
        <v>17</v>
      </c>
    </row>
    <row r="989" spans="1:14">
      <c r="A989">
        <v>28972</v>
      </c>
      <c r="B989" t="s">
        <v>42</v>
      </c>
      <c r="C989" t="s">
        <v>43</v>
      </c>
      <c r="D989" s="3">
        <v>60000</v>
      </c>
      <c r="E989" s="3" t="s">
        <v>46</v>
      </c>
      <c r="F989">
        <v>3</v>
      </c>
      <c r="G989" t="s">
        <v>34</v>
      </c>
      <c r="H989" t="s">
        <v>31</v>
      </c>
      <c r="I989" t="s">
        <v>7</v>
      </c>
      <c r="J989">
        <v>2</v>
      </c>
      <c r="K989" t="s">
        <v>33</v>
      </c>
      <c r="L989" t="s">
        <v>35</v>
      </c>
      <c r="M989" t="s">
        <v>53</v>
      </c>
      <c r="N989" t="s">
        <v>20</v>
      </c>
    </row>
    <row r="990" spans="1:14">
      <c r="A990">
        <v>22730</v>
      </c>
      <c r="B990" t="s">
        <v>41</v>
      </c>
      <c r="C990" t="s">
        <v>44</v>
      </c>
      <c r="D990" s="3">
        <v>70000</v>
      </c>
      <c r="E990" s="3" t="s">
        <v>46</v>
      </c>
      <c r="F990">
        <v>5</v>
      </c>
      <c r="G990" t="s">
        <v>15</v>
      </c>
      <c r="H990" t="s">
        <v>31</v>
      </c>
      <c r="I990" t="s">
        <v>7</v>
      </c>
      <c r="J990">
        <v>2</v>
      </c>
      <c r="K990" t="s">
        <v>33</v>
      </c>
      <c r="L990" t="s">
        <v>35</v>
      </c>
      <c r="M990" t="s">
        <v>50</v>
      </c>
      <c r="N990" t="s">
        <v>20</v>
      </c>
    </row>
    <row r="991" spans="1:14">
      <c r="A991">
        <v>29134</v>
      </c>
      <c r="B991" t="s">
        <v>41</v>
      </c>
      <c r="C991" t="s">
        <v>44</v>
      </c>
      <c r="D991" s="3">
        <v>60000</v>
      </c>
      <c r="E991" s="3" t="s">
        <v>46</v>
      </c>
      <c r="F991">
        <v>4</v>
      </c>
      <c r="G991" t="s">
        <v>15</v>
      </c>
      <c r="H991" t="s">
        <v>16</v>
      </c>
      <c r="I991" t="s">
        <v>48</v>
      </c>
      <c r="J991">
        <v>3</v>
      </c>
      <c r="K991" t="s">
        <v>33</v>
      </c>
      <c r="L991" t="s">
        <v>35</v>
      </c>
      <c r="M991" t="s">
        <v>49</v>
      </c>
      <c r="N991" t="s">
        <v>20</v>
      </c>
    </row>
    <row r="992" spans="1:14">
      <c r="A992">
        <v>14332</v>
      </c>
      <c r="B992" t="s">
        <v>42</v>
      </c>
      <c r="C992" t="s">
        <v>43</v>
      </c>
      <c r="D992" s="3">
        <v>30000</v>
      </c>
      <c r="E992" s="3" t="s">
        <v>45</v>
      </c>
      <c r="F992">
        <v>0</v>
      </c>
      <c r="G992" t="s">
        <v>30</v>
      </c>
      <c r="H992" t="s">
        <v>16</v>
      </c>
      <c r="I992" t="s">
        <v>48</v>
      </c>
      <c r="J992">
        <v>2</v>
      </c>
      <c r="K992" t="s">
        <v>26</v>
      </c>
      <c r="L992" t="s">
        <v>35</v>
      </c>
      <c r="M992" t="s">
        <v>52</v>
      </c>
      <c r="N992" t="s">
        <v>20</v>
      </c>
    </row>
    <row r="993" spans="1:14">
      <c r="A993">
        <v>19117</v>
      </c>
      <c r="B993" t="s">
        <v>42</v>
      </c>
      <c r="C993" t="s">
        <v>43</v>
      </c>
      <c r="D993" s="3">
        <v>60000</v>
      </c>
      <c r="E993" s="3" t="s">
        <v>46</v>
      </c>
      <c r="F993">
        <v>1</v>
      </c>
      <c r="G993" t="s">
        <v>34</v>
      </c>
      <c r="H993" t="s">
        <v>23</v>
      </c>
      <c r="I993" t="s">
        <v>7</v>
      </c>
      <c r="J993">
        <v>0</v>
      </c>
      <c r="K993" t="s">
        <v>24</v>
      </c>
      <c r="L993" t="s">
        <v>35</v>
      </c>
      <c r="M993" t="s">
        <v>49</v>
      </c>
      <c r="N993" t="s">
        <v>17</v>
      </c>
    </row>
    <row r="994" spans="1:14">
      <c r="A994">
        <v>22864</v>
      </c>
      <c r="B994" t="s">
        <v>41</v>
      </c>
      <c r="C994" t="s">
        <v>44</v>
      </c>
      <c r="D994" s="3">
        <v>90000</v>
      </c>
      <c r="E994" s="3" t="s">
        <v>46</v>
      </c>
      <c r="F994">
        <v>2</v>
      </c>
      <c r="G994" t="s">
        <v>21</v>
      </c>
      <c r="H994" t="s">
        <v>23</v>
      </c>
      <c r="I994" t="s">
        <v>48</v>
      </c>
      <c r="J994">
        <v>0</v>
      </c>
      <c r="K994" t="s">
        <v>26</v>
      </c>
      <c r="L994" t="s">
        <v>35</v>
      </c>
      <c r="M994" t="s">
        <v>51</v>
      </c>
      <c r="N994" t="s">
        <v>17</v>
      </c>
    </row>
    <row r="995" spans="1:14">
      <c r="A995">
        <v>11292</v>
      </c>
      <c r="B995" t="s">
        <v>42</v>
      </c>
      <c r="C995" t="s">
        <v>44</v>
      </c>
      <c r="D995" s="3">
        <v>150000</v>
      </c>
      <c r="E995" s="3" t="s">
        <v>47</v>
      </c>
      <c r="F995">
        <v>1</v>
      </c>
      <c r="G995" t="s">
        <v>21</v>
      </c>
      <c r="H995" t="s">
        <v>23</v>
      </c>
      <c r="I995" t="s">
        <v>48</v>
      </c>
      <c r="J995">
        <v>3</v>
      </c>
      <c r="K995" t="s">
        <v>18</v>
      </c>
      <c r="L995" t="s">
        <v>35</v>
      </c>
      <c r="M995" t="s">
        <v>49</v>
      </c>
      <c r="N995" t="s">
        <v>17</v>
      </c>
    </row>
    <row r="996" spans="1:14">
      <c r="A996">
        <v>13466</v>
      </c>
      <c r="B996" t="s">
        <v>41</v>
      </c>
      <c r="C996" t="s">
        <v>44</v>
      </c>
      <c r="D996" s="3">
        <v>80000</v>
      </c>
      <c r="E996" s="3" t="s">
        <v>46</v>
      </c>
      <c r="F996">
        <v>5</v>
      </c>
      <c r="G996" t="s">
        <v>21</v>
      </c>
      <c r="H996" t="s">
        <v>23</v>
      </c>
      <c r="I996" t="s">
        <v>7</v>
      </c>
      <c r="J996">
        <v>3</v>
      </c>
      <c r="K996" t="s">
        <v>29</v>
      </c>
      <c r="L996" t="s">
        <v>35</v>
      </c>
      <c r="M996" t="s">
        <v>51</v>
      </c>
      <c r="N996" t="s">
        <v>20</v>
      </c>
    </row>
    <row r="997" spans="1:14">
      <c r="A997">
        <v>23731</v>
      </c>
      <c r="B997" t="s">
        <v>41</v>
      </c>
      <c r="C997" t="s">
        <v>44</v>
      </c>
      <c r="D997" s="3">
        <v>60000</v>
      </c>
      <c r="E997" s="3" t="s">
        <v>46</v>
      </c>
      <c r="F997" s="4">
        <v>2</v>
      </c>
      <c r="G997" t="s">
        <v>30</v>
      </c>
      <c r="H997" t="s">
        <v>23</v>
      </c>
      <c r="I997" t="s">
        <v>7</v>
      </c>
      <c r="J997">
        <v>2</v>
      </c>
      <c r="K997" t="s">
        <v>24</v>
      </c>
      <c r="L997" t="s">
        <v>35</v>
      </c>
      <c r="M997" t="s">
        <v>51</v>
      </c>
      <c r="N997" t="s">
        <v>17</v>
      </c>
    </row>
    <row r="998" spans="1:14">
      <c r="A998">
        <v>28672</v>
      </c>
      <c r="B998" t="s">
        <v>42</v>
      </c>
      <c r="C998" t="s">
        <v>44</v>
      </c>
      <c r="D998" s="3">
        <v>70000</v>
      </c>
      <c r="E998" s="3" t="s">
        <v>46</v>
      </c>
      <c r="F998">
        <v>4</v>
      </c>
      <c r="G998" t="s">
        <v>34</v>
      </c>
      <c r="H998" t="s">
        <v>23</v>
      </c>
      <c r="I998" t="s">
        <v>7</v>
      </c>
      <c r="J998">
        <v>0</v>
      </c>
      <c r="K998" t="s">
        <v>24</v>
      </c>
      <c r="L998" t="s">
        <v>35</v>
      </c>
      <c r="M998" t="s">
        <v>49</v>
      </c>
      <c r="N998" t="s">
        <v>17</v>
      </c>
    </row>
    <row r="999" spans="1:14">
      <c r="A999">
        <v>11809</v>
      </c>
      <c r="B999" t="s">
        <v>41</v>
      </c>
      <c r="C999" t="s">
        <v>44</v>
      </c>
      <c r="D999" s="3">
        <v>60000</v>
      </c>
      <c r="E999" s="3" t="s">
        <v>46</v>
      </c>
      <c r="F999">
        <v>2</v>
      </c>
      <c r="G999" t="s">
        <v>15</v>
      </c>
      <c r="H999" t="s">
        <v>16</v>
      </c>
      <c r="I999" t="s">
        <v>7</v>
      </c>
      <c r="J999">
        <v>0</v>
      </c>
      <c r="K999" t="s">
        <v>18</v>
      </c>
      <c r="L999" t="s">
        <v>35</v>
      </c>
      <c r="M999" t="s">
        <v>49</v>
      </c>
      <c r="N999" t="s">
        <v>17</v>
      </c>
    </row>
    <row r="1000" spans="1:14">
      <c r="A1000">
        <v>19664</v>
      </c>
      <c r="B1000" t="s">
        <v>42</v>
      </c>
      <c r="C1000" t="s">
        <v>44</v>
      </c>
      <c r="D1000" s="3">
        <v>100000</v>
      </c>
      <c r="E1000" s="3" t="s">
        <v>46</v>
      </c>
      <c r="F1000">
        <v>3</v>
      </c>
      <c r="G1000" t="s">
        <v>15</v>
      </c>
      <c r="H1000" t="s">
        <v>31</v>
      </c>
      <c r="I1000" t="s">
        <v>48</v>
      </c>
      <c r="J1000">
        <v>3</v>
      </c>
      <c r="K1000" t="s">
        <v>29</v>
      </c>
      <c r="L1000" t="s">
        <v>35</v>
      </c>
      <c r="M1000" t="s">
        <v>49</v>
      </c>
      <c r="N1000" t="s">
        <v>20</v>
      </c>
    </row>
    <row r="1001" spans="1:14">
      <c r="A1001">
        <v>12121</v>
      </c>
      <c r="B1001" t="s">
        <v>42</v>
      </c>
      <c r="C1001" t="s">
        <v>44</v>
      </c>
      <c r="D1001" s="3">
        <v>60000</v>
      </c>
      <c r="E1001" s="3" t="s">
        <v>46</v>
      </c>
      <c r="F1001">
        <v>3</v>
      </c>
      <c r="G1001" t="s">
        <v>30</v>
      </c>
      <c r="H1001" t="s">
        <v>23</v>
      </c>
      <c r="I1001" t="s">
        <v>7</v>
      </c>
      <c r="J1001">
        <v>2</v>
      </c>
      <c r="K1001" t="s">
        <v>33</v>
      </c>
      <c r="L1001" t="s">
        <v>35</v>
      </c>
      <c r="M1001" t="s">
        <v>51</v>
      </c>
      <c r="N1001" t="s">
        <v>17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83CB-A7C5-46C5-8941-E5741B579A6C}">
  <dimension ref="B1:F4"/>
  <sheetViews>
    <sheetView workbookViewId="0">
      <selection activeCell="F1" sqref="F1"/>
    </sheetView>
  </sheetViews>
  <sheetFormatPr defaultRowHeight="15"/>
  <cols>
    <col min="2" max="2" width="13.28515625" bestFit="1" customWidth="1"/>
    <col min="6" max="6" width="14" bestFit="1" customWidth="1"/>
  </cols>
  <sheetData>
    <row r="1" spans="2:6">
      <c r="B1" s="2" t="s">
        <v>1</v>
      </c>
      <c r="D1" s="2" t="s">
        <v>2</v>
      </c>
      <c r="F1" s="2" t="s">
        <v>10</v>
      </c>
    </row>
    <row r="2" spans="2:6">
      <c r="B2" t="s">
        <v>41</v>
      </c>
      <c r="D2" t="s">
        <v>43</v>
      </c>
      <c r="F2" t="s">
        <v>19</v>
      </c>
    </row>
    <row r="3" spans="2:6">
      <c r="B3" t="s">
        <v>42</v>
      </c>
      <c r="D3" t="s">
        <v>44</v>
      </c>
      <c r="F3" t="s">
        <v>27</v>
      </c>
    </row>
    <row r="4" spans="2:6">
      <c r="F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E15E-76ED-4099-A4E1-A0C92110A196}">
  <sheetPr>
    <tabColor rgb="FF7030A0"/>
  </sheetPr>
  <dimension ref="A7:I50"/>
  <sheetViews>
    <sheetView showGridLines="0" showRowColHeaders="0" tabSelected="1" topLeftCell="A7" zoomScale="50" zoomScaleNormal="50" workbookViewId="0">
      <selection activeCell="I28" sqref="I28"/>
    </sheetView>
  </sheetViews>
  <sheetFormatPr defaultRowHeight="15"/>
  <cols>
    <col min="1" max="6" width="9.140625" style="18"/>
    <col min="7" max="7" width="10.28515625" style="18" customWidth="1"/>
    <col min="8" max="8" width="3.85546875" style="18" customWidth="1"/>
    <col min="9" max="9" width="27.5703125" style="18" bestFit="1" customWidth="1"/>
    <col min="10" max="13" width="9.140625" style="18"/>
    <col min="14" max="14" width="27" style="18" customWidth="1"/>
    <col min="15" max="18" width="9.140625" style="18"/>
    <col min="19" max="19" width="26.85546875" style="18" customWidth="1"/>
    <col min="20" max="16384" width="9.140625" style="18"/>
  </cols>
  <sheetData>
    <row r="7" spans="1:8" ht="26.25">
      <c r="A7" s="21" t="s">
        <v>78</v>
      </c>
      <c r="B7" s="22"/>
      <c r="C7" s="22"/>
      <c r="D7" s="22"/>
      <c r="E7" s="22"/>
      <c r="F7" s="22"/>
      <c r="G7" s="22"/>
      <c r="H7" s="28"/>
    </row>
    <row r="8" spans="1:8" ht="26.25">
      <c r="B8" s="23"/>
      <c r="C8" s="24" t="s">
        <v>92</v>
      </c>
      <c r="D8" s="25"/>
      <c r="E8" s="26"/>
      <c r="F8" s="23"/>
    </row>
    <row r="22" spans="8:9">
      <c r="H22" s="23"/>
    </row>
    <row r="24" spans="8:9" ht="23.25">
      <c r="I24" s="27" t="s">
        <v>91</v>
      </c>
    </row>
    <row r="27" spans="8:9" ht="27" thickBot="1">
      <c r="I27" s="20" t="s">
        <v>2</v>
      </c>
    </row>
    <row r="28" spans="8:9" ht="21" thickBot="1">
      <c r="I28" s="17" t="s">
        <v>43</v>
      </c>
    </row>
    <row r="29" spans="8:9" ht="20.25">
      <c r="I29" s="19"/>
    </row>
    <row r="30" spans="8:9" ht="20.25">
      <c r="I30" s="19"/>
    </row>
    <row r="38" spans="9:9" ht="27" thickBot="1">
      <c r="I38" s="20" t="s">
        <v>1</v>
      </c>
    </row>
    <row r="39" spans="9:9" ht="21" thickBot="1">
      <c r="I39" s="17" t="s">
        <v>41</v>
      </c>
    </row>
    <row r="40" spans="9:9" ht="20.25">
      <c r="I40" s="19"/>
    </row>
    <row r="41" spans="9:9" ht="20.25">
      <c r="I41" s="19"/>
    </row>
    <row r="49" spans="9:9" ht="27" thickBot="1">
      <c r="I49" s="20" t="s">
        <v>10</v>
      </c>
    </row>
    <row r="50" spans="9:9" ht="21" thickBot="1">
      <c r="I50" s="17" t="s">
        <v>19</v>
      </c>
    </row>
  </sheetData>
  <sheetProtection sheet="1" objects="1" scenarios="1" selectLockedCells="1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562C2C-04CF-4E9E-A776-329A43C9DED4}">
          <x14:formula1>
            <xm:f>Validations!$B$2:$B$3</xm:f>
          </x14:formula1>
          <xm:sqref>I39</xm:sqref>
        </x14:dataValidation>
        <x14:dataValidation type="list" allowBlank="1" showInputMessage="1" showErrorMessage="1" xr:uid="{7DFA9439-9E48-4D55-B542-2DB5F8578F27}">
          <x14:formula1>
            <xm:f>Validations!$F$2:$F$4</xm:f>
          </x14:formula1>
          <xm:sqref>I50</xm:sqref>
        </x14:dataValidation>
        <x14:dataValidation type="list" allowBlank="1" showInputMessage="1" showErrorMessage="1" xr:uid="{931C5F37-C99B-4AA0-A2F0-7A286AF52A86}">
          <x14:formula1>
            <xm:f>Validations!$D$2:$D$3</xm:f>
          </x14:formula1>
          <xm:sqref>I28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66BA-E39F-484E-A2D9-85692178AD85}">
  <dimension ref="A1:W25"/>
  <sheetViews>
    <sheetView topLeftCell="H10" workbookViewId="0">
      <selection activeCell="V22" sqref="V22"/>
    </sheetView>
  </sheetViews>
  <sheetFormatPr defaultRowHeight="15"/>
  <cols>
    <col min="1" max="2" width="14.140625" bestFit="1" customWidth="1"/>
    <col min="3" max="3" width="10.5703125" customWidth="1"/>
    <col min="4" max="5" width="11.5703125" bestFit="1" customWidth="1"/>
    <col min="7" max="7" width="12.85546875" customWidth="1"/>
    <col min="8" max="8" width="11.85546875" customWidth="1"/>
    <col min="10" max="10" width="9.85546875" bestFit="1" customWidth="1"/>
    <col min="16" max="16" width="14.140625" bestFit="1" customWidth="1"/>
    <col min="18" max="18" width="10.5703125" bestFit="1" customWidth="1"/>
    <col min="23" max="23" width="10.7109375" bestFit="1" customWidth="1"/>
  </cols>
  <sheetData>
    <row r="1" spans="1:21">
      <c r="A1" s="2" t="s">
        <v>40</v>
      </c>
      <c r="B1" s="8" t="s">
        <v>56</v>
      </c>
      <c r="C1" s="7"/>
      <c r="D1" s="8" t="s">
        <v>61</v>
      </c>
      <c r="E1" s="7"/>
      <c r="G1" s="8" t="s">
        <v>58</v>
      </c>
      <c r="H1" s="7"/>
      <c r="J1" s="8" t="s">
        <v>60</v>
      </c>
      <c r="K1" s="7"/>
      <c r="M1" s="7"/>
      <c r="N1" s="8" t="s">
        <v>69</v>
      </c>
      <c r="O1" s="7"/>
      <c r="P1" s="7"/>
      <c r="S1" s="2" t="s">
        <v>70</v>
      </c>
    </row>
    <row r="2" spans="1:21">
      <c r="B2" s="6" t="s">
        <v>54</v>
      </c>
      <c r="C2" s="6" t="s">
        <v>55</v>
      </c>
      <c r="D2" s="6" t="s">
        <v>54</v>
      </c>
      <c r="E2" s="6" t="s">
        <v>57</v>
      </c>
      <c r="G2" s="6" t="s">
        <v>54</v>
      </c>
      <c r="H2" s="6" t="s">
        <v>57</v>
      </c>
      <c r="J2" t="s">
        <v>54</v>
      </c>
      <c r="K2" t="s">
        <v>57</v>
      </c>
      <c r="N2" t="s">
        <v>54</v>
      </c>
      <c r="O2" t="s">
        <v>57</v>
      </c>
      <c r="T2" t="s">
        <v>54</v>
      </c>
      <c r="U2" t="s">
        <v>57</v>
      </c>
    </row>
    <row r="3" spans="1:21">
      <c r="A3" t="s">
        <v>49</v>
      </c>
      <c r="B3" s="6">
        <f>SUMPRODUCT(--(Bike_Customers_Data[Age_Group]=A3))</f>
        <v>331</v>
      </c>
      <c r="C3" s="6">
        <f>COUNTIF(Bike_Customers_Data[Age_Group],A3)</f>
        <v>331</v>
      </c>
      <c r="D3" s="6">
        <f>SUMPRODUCT(--((Bike_Customers_Data[Age_Group]=A3) * (Bike_Customers_Data[Purchased Bike] = "Yes")))</f>
        <v>197</v>
      </c>
      <c r="E3" s="6">
        <f>COUNTIFS(Bike_Customers_Data[Age_Group],A3,Bike_Customers_Data[Purchased Bike],"Yes")</f>
        <v>197</v>
      </c>
      <c r="G3" s="6">
        <f>SUMPRODUCT(--((Bike_Customers_Data[Age_Group]=A3) * (Bike_Customers_Data[Marital_Status]=Marital_Status)))</f>
        <v>162</v>
      </c>
      <c r="H3" s="6">
        <f>COUNTIFS(
                       Bike_Customers_Data[Marital_Status], Marital_Status,
                       Bike_Customers_Data[Age_Group],A3
)</f>
        <v>162</v>
      </c>
      <c r="J3">
        <f>SUMPRODUCT(--((Bike_Customers_Data[Age_Group]=A3) * (Bike_Customers_Data[Gender]=Gender)))</f>
        <v>160</v>
      </c>
      <c r="K3">
        <f>COUNTIFS(
                       Bike_Customers_Data[Gender], Gender,
                       Bike_Customers_Data[Age_Group],A3
)</f>
        <v>160</v>
      </c>
      <c r="N3">
        <f>SUMPRODUCT(
--(Bike_Customers_Data[Marital_Status]=Marital_Status)*
(Bike_Customers_Data[Gender]=Gender)*
(Bike_Customers_Data[Age_Group]=A3)*
(Bike_Customers_Data[Region]=Location)
)</f>
        <v>29</v>
      </c>
      <c r="O3">
        <f>COUNTIFS(
Bike_Customers_Data[Gender],Gender,
Bike_Customers_Data[Marital_Status],Marital_Status,
Bike_Customers_Data[Age_Group],A3,
Bike_Customers_Data[Region],Location)</f>
        <v>29</v>
      </c>
      <c r="T3">
        <f>SUMPRODUCT(--(Bike_Customers_Data[Marital_Status]=Marital_Status) *
  (Bike_Customers_Data[Gender]=Gender) *
  (Bike_Customers_Data[Region]=Location) *
  (Bike_Customers_Data[Age_Group]=A3) *
  (Bike_Customers_Data[Purchased Bike] = "Yes")
)</f>
        <v>19</v>
      </c>
      <c r="U3">
        <f>COUNTIFS(Bike_Customers_Data[Age_Group],A3,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19</v>
      </c>
    </row>
    <row r="4" spans="1:21">
      <c r="A4" t="s">
        <v>50</v>
      </c>
      <c r="B4" s="6">
        <f>SUMPRODUCT(--(Bike_Customers_Data[Age_Group]=A4))</f>
        <v>130</v>
      </c>
      <c r="C4" s="6">
        <f>COUNTIF(Bike_Customers_Data[Age_Group],A4)</f>
        <v>130</v>
      </c>
      <c r="D4" s="6">
        <f>SUMPRODUCT(--((Bike_Customers_Data[Age_Group]=A4) * (Bike_Customers_Data[Purchased Bike] = "Yes")))</f>
        <v>42</v>
      </c>
      <c r="E4" s="6">
        <f>COUNTIFS(Bike_Customers_Data[Age_Group],A4,Bike_Customers_Data[Purchased Bike],"Yes")</f>
        <v>42</v>
      </c>
      <c r="G4" s="6">
        <f>SUMPRODUCT(--((Bike_Customers_Data[Age_Group]=A4) * (Bike_Customers_Data[Marital_Status]=Marital_Status)))</f>
        <v>88</v>
      </c>
      <c r="H4" s="6">
        <f>COUNTIFS(
                       Bike_Customers_Data[Marital_Status], Marital_Status,
                       Bike_Customers_Data[Age_Group],A4
)</f>
        <v>88</v>
      </c>
      <c r="J4">
        <f>SUMPRODUCT(--((Bike_Customers_Data[Age_Group]=A4) * (Bike_Customers_Data[Gender]=Gender)))</f>
        <v>63</v>
      </c>
      <c r="K4">
        <f>COUNTIFS(
                       Bike_Customers_Data[Gender], Gender,
                       Bike_Customers_Data[Age_Group],A4
)</f>
        <v>63</v>
      </c>
      <c r="N4">
        <f>SUMPRODUCT(
--(Bike_Customers_Data[Marital_Status]=Marital_Status)*
(Bike_Customers_Data[Gender]=Gender)*
(Bike_Customers_Data[Age_Group]=A4)*
(Bike_Customers_Data[Region]=Location)
)</f>
        <v>10</v>
      </c>
      <c r="O4">
        <f>COUNTIFS(
Bike_Customers_Data[Gender],Gender,
Bike_Customers_Data[Marital_Status],Marital_Status,
Bike_Customers_Data[Age_Group],A4,
Bike_Customers_Data[Region],Location)</f>
        <v>10</v>
      </c>
      <c r="T4">
        <f>SUMPRODUCT(--(Bike_Customers_Data[Marital_Status]=Marital_Status) *
  (Bike_Customers_Data[Gender]=Gender) *
  (Bike_Customers_Data[Region]=Location) *
  (Bike_Customers_Data[Age_Group]=A4) *
  (Bike_Customers_Data[Purchased Bike] = "Yes")
)</f>
        <v>1</v>
      </c>
      <c r="U4">
        <f>COUNTIFS(Bike_Customers_Data[Age_Group],A4,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1</v>
      </c>
    </row>
    <row r="5" spans="1:21">
      <c r="A5" t="s">
        <v>51</v>
      </c>
      <c r="B5" s="6">
        <f>SUMPRODUCT(--(Bike_Customers_Data[Age_Group]=A5))</f>
        <v>260</v>
      </c>
      <c r="C5" s="6">
        <f>COUNTIF(Bike_Customers_Data[Age_Group],A5)</f>
        <v>260</v>
      </c>
      <c r="D5" s="6">
        <f>SUMPRODUCT(--((Bike_Customers_Data[Age_Group]=A5) * (Bike_Customers_Data[Purchased Bike] = "Yes")))</f>
        <v>132</v>
      </c>
      <c r="E5" s="6">
        <f>COUNTIFS(Bike_Customers_Data[Age_Group],A5,Bike_Customers_Data[Purchased Bike],"Yes")</f>
        <v>132</v>
      </c>
      <c r="G5" s="6">
        <f>SUMPRODUCT(--((Bike_Customers_Data[Age_Group]=A5) * (Bike_Customers_Data[Marital_Status]=Marital_Status)))</f>
        <v>163</v>
      </c>
      <c r="H5" s="6">
        <f>COUNTIFS(
                       Bike_Customers_Data[Marital_Status], Marital_Status,
                       Bike_Customers_Data[Age_Group],A5
)</f>
        <v>163</v>
      </c>
      <c r="J5">
        <f>SUMPRODUCT(--((Bike_Customers_Data[Age_Group]=A5) * (Bike_Customers_Data[Gender]=Gender)))</f>
        <v>126</v>
      </c>
      <c r="K5">
        <f>COUNTIFS(
                       Bike_Customers_Data[Gender], Gender,
                       Bike_Customers_Data[Age_Group],A5
)</f>
        <v>126</v>
      </c>
      <c r="N5">
        <f>SUMPRODUCT(
--(Bike_Customers_Data[Marital_Status]=Marital_Status)*
(Bike_Customers_Data[Gender]=Gender)*
(Bike_Customers_Data[Age_Group]=A5)*
(Bike_Customers_Data[Region]=Location)
)</f>
        <v>25</v>
      </c>
      <c r="O5">
        <f>COUNTIFS(
Bike_Customers_Data[Gender],Gender,
Bike_Customers_Data[Marital_Status],Marital_Status,
Bike_Customers_Data[Age_Group],A5,
Bike_Customers_Data[Region],Location)</f>
        <v>25</v>
      </c>
      <c r="T5">
        <f>SUMPRODUCT(--(Bike_Customers_Data[Marital_Status]=Marital_Status) *
  (Bike_Customers_Data[Gender]=Gender) *
  (Bike_Customers_Data[Region]=Location) *
  (Bike_Customers_Data[Age_Group]=A5) *
  (Bike_Customers_Data[Purchased Bike] = "Yes")
)</f>
        <v>13</v>
      </c>
      <c r="U5">
        <f>COUNTIFS(Bike_Customers_Data[Age_Group],A5,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13</v>
      </c>
    </row>
    <row r="6" spans="1:21">
      <c r="A6" t="s">
        <v>52</v>
      </c>
      <c r="B6" s="6">
        <f>SUMPRODUCT(--(Bike_Customers_Data[Age_Group]=A6))</f>
        <v>220</v>
      </c>
      <c r="C6" s="6">
        <f>COUNTIF(Bike_Customers_Data[Age_Group],A6)</f>
        <v>220</v>
      </c>
      <c r="D6" s="6">
        <f>SUMPRODUCT(--((Bike_Customers_Data[Age_Group]=A6) * (Bike_Customers_Data[Purchased Bike] = "Yes")))</f>
        <v>93</v>
      </c>
      <c r="E6" s="6">
        <f>COUNTIFS(Bike_Customers_Data[Age_Group],A6,Bike_Customers_Data[Purchased Bike],"Yes")</f>
        <v>93</v>
      </c>
      <c r="G6" s="6">
        <f>SUMPRODUCT(--((Bike_Customers_Data[Age_Group]=A6) * (Bike_Customers_Data[Marital_Status]=Marital_Status)))</f>
        <v>85</v>
      </c>
      <c r="H6" s="6">
        <f>COUNTIFS(
                       Bike_Customers_Data[Marital_Status], Marital_Status,
                       Bike_Customers_Data[Age_Group],A6
)</f>
        <v>85</v>
      </c>
      <c r="J6">
        <f>SUMPRODUCT(--((Bike_Customers_Data[Age_Group]=A6) * (Bike_Customers_Data[Gender]=Gender)))</f>
        <v>110</v>
      </c>
      <c r="K6">
        <f>COUNTIFS(
                       Bike_Customers_Data[Gender], Gender,
                       Bike_Customers_Data[Age_Group],A6
)</f>
        <v>110</v>
      </c>
      <c r="N6">
        <f>SUMPRODUCT(
--(Bike_Customers_Data[Marital_Status]=Marital_Status)*
(Bike_Customers_Data[Gender]=Gender)*
(Bike_Customers_Data[Age_Group]=A6)*
(Bike_Customers_Data[Region]=Location)
)</f>
        <v>6</v>
      </c>
      <c r="O6">
        <f>COUNTIFS(
Bike_Customers_Data[Gender],Gender,
Bike_Customers_Data[Marital_Status],Marital_Status,
Bike_Customers_Data[Age_Group],A6,
Bike_Customers_Data[Region],Location)</f>
        <v>6</v>
      </c>
      <c r="T6">
        <f>SUMPRODUCT(--(Bike_Customers_Data[Marital_Status]=Marital_Status) *
  (Bike_Customers_Data[Gender]=Gender) *
  (Bike_Customers_Data[Region]=Location) *
  (Bike_Customers_Data[Age_Group]=A6) *
  (Bike_Customers_Data[Purchased Bike] = "Yes")
)</f>
        <v>3</v>
      </c>
      <c r="U6">
        <f>COUNTIFS(Bike_Customers_Data[Age_Group],A6,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3</v>
      </c>
    </row>
    <row r="7" spans="1:21">
      <c r="A7" t="s">
        <v>53</v>
      </c>
      <c r="B7" s="6">
        <f>SUMPRODUCT(--(Bike_Customers_Data[Age_Group]=A7))</f>
        <v>59</v>
      </c>
      <c r="C7" s="6">
        <f>COUNTIF(Bike_Customers_Data[Age_Group],A7)</f>
        <v>59</v>
      </c>
      <c r="D7" s="6">
        <f>SUMPRODUCT(--((Bike_Customers_Data[Age_Group]=A7) * (Bike_Customers_Data[Purchased Bike] = "Yes")))</f>
        <v>17</v>
      </c>
      <c r="E7" s="6">
        <f>COUNTIFS(Bike_Customers_Data[Age_Group],A7,Bike_Customers_Data[Purchased Bike],"Yes")</f>
        <v>17</v>
      </c>
      <c r="G7" s="6">
        <f>SUMPRODUCT(--((Bike_Customers_Data[Age_Group]=A7) * (Bike_Customers_Data[Marital_Status]=Marital_Status)))</f>
        <v>40</v>
      </c>
      <c r="H7" s="6">
        <f>COUNTIFS(
                       Bike_Customers_Data[Marital_Status], Marital_Status,
                       Bike_Customers_Data[Age_Group],A7
)</f>
        <v>40</v>
      </c>
      <c r="J7">
        <f>SUMPRODUCT(--((Bike_Customers_Data[Age_Group]=A7) * (Bike_Customers_Data[Gender]=Gender)))</f>
        <v>30</v>
      </c>
      <c r="K7">
        <f>COUNTIFS(
                       Bike_Customers_Data[Gender], Gender,
                       Bike_Customers_Data[Age_Group],A7
)</f>
        <v>30</v>
      </c>
      <c r="N7">
        <f>SUMPRODUCT(
--(Bike_Customers_Data[Marital_Status]=Marital_Status)*
(Bike_Customers_Data[Gender]=Gender)*
(Bike_Customers_Data[Age_Group]=A7)*
(Bike_Customers_Data[Region]=Location)
)</f>
        <v>7</v>
      </c>
      <c r="O7">
        <f>COUNTIFS(
Bike_Customers_Data[Gender],Gender,
Bike_Customers_Data[Marital_Status],Marital_Status,
Bike_Customers_Data[Age_Group],A7,
Bike_Customers_Data[Region],Location)</f>
        <v>7</v>
      </c>
      <c r="T7">
        <f>SUMPRODUCT(--(Bike_Customers_Data[Marital_Status]=Marital_Status) *
  (Bike_Customers_Data[Gender]=Gender) *
  (Bike_Customers_Data[Region]=Location) *
  (Bike_Customers_Data[Age_Group]=A7) *
  (Bike_Customers_Data[Purchased Bike] = "Yes")
)</f>
        <v>2</v>
      </c>
      <c r="U7">
        <f>COUNTIFS(Bike_Customers_Data[Age_Group],A7,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2</v>
      </c>
    </row>
    <row r="10" spans="1:21">
      <c r="A10" s="2" t="str">
        <f>A1</f>
        <v>Age_Group</v>
      </c>
      <c r="B10" s="2" t="str">
        <f>B1</f>
        <v>Visits</v>
      </c>
      <c r="C10" s="2" t="str">
        <f>D1</f>
        <v xml:space="preserve"> Purchased</v>
      </c>
      <c r="D10" s="9" t="s">
        <v>62</v>
      </c>
      <c r="E10" s="2" t="s">
        <v>68</v>
      </c>
      <c r="P10" s="2" t="str">
        <f>A10</f>
        <v>Age_Group</v>
      </c>
      <c r="Q10" s="2" t="str">
        <f>B10</f>
        <v>Visits</v>
      </c>
      <c r="R10" s="2" t="str">
        <f>C10</f>
        <v xml:space="preserve"> Purchased</v>
      </c>
      <c r="S10" s="2" t="s">
        <v>62</v>
      </c>
    </row>
    <row r="11" spans="1:21">
      <c r="A11" t="str">
        <f>A3</f>
        <v>35 to 44 yrs</v>
      </c>
      <c r="B11" s="6">
        <f>C3</f>
        <v>331</v>
      </c>
      <c r="C11" s="6">
        <f>E3</f>
        <v>197</v>
      </c>
      <c r="D11" s="6">
        <f>RANK(C11,$C$11:$C$16)+COUNTIF($C$11:C16,C11)-1</f>
        <v>1</v>
      </c>
      <c r="E11" s="11">
        <f>C11/B11</f>
        <v>0.595166163141994</v>
      </c>
      <c r="P11" t="str">
        <f>A11</f>
        <v>35 to 44 yrs</v>
      </c>
      <c r="Q11">
        <f>O3</f>
        <v>29</v>
      </c>
      <c r="R11">
        <f>U3</f>
        <v>19</v>
      </c>
      <c r="S11">
        <f>RANK(R11,$R$11:$R$15)+COUNTIF($R$11:R11,R11)-1</f>
        <v>1</v>
      </c>
    </row>
    <row r="12" spans="1:21">
      <c r="A12" t="str">
        <f>A4</f>
        <v>55 to 64 yrs</v>
      </c>
      <c r="B12" s="6">
        <f>C4</f>
        <v>130</v>
      </c>
      <c r="C12" s="6">
        <f>E4</f>
        <v>42</v>
      </c>
      <c r="D12" s="6">
        <f>RANK(C12,$C$11:$C$16)+COUNTIF($C$11:C16,C12)-1</f>
        <v>4</v>
      </c>
      <c r="E12" s="11">
        <f>C12/B12</f>
        <v>0.32307692307692309</v>
      </c>
      <c r="P12" t="str">
        <f>A12</f>
        <v>55 to 64 yrs</v>
      </c>
      <c r="Q12">
        <f>O4</f>
        <v>10</v>
      </c>
      <c r="R12">
        <f>U4</f>
        <v>1</v>
      </c>
      <c r="S12">
        <f>RANK(R12,$R$11:$R$15)+COUNTIF($R$11:R12,R12)-1</f>
        <v>5</v>
      </c>
    </row>
    <row r="13" spans="1:21">
      <c r="A13" t="str">
        <f>A5</f>
        <v>45 to 54 yrs</v>
      </c>
      <c r="B13" s="6">
        <f>C5</f>
        <v>260</v>
      </c>
      <c r="C13" s="6">
        <f>E5</f>
        <v>132</v>
      </c>
      <c r="D13" s="6">
        <f>RANK(C13,$C$11:$C$16)+COUNTIF($C$11:C16,C13)-1</f>
        <v>2</v>
      </c>
      <c r="E13" s="11">
        <f>C13/B13</f>
        <v>0.50769230769230766</v>
      </c>
      <c r="P13" t="str">
        <f>A13</f>
        <v>45 to 54 yrs</v>
      </c>
      <c r="Q13">
        <f>O5</f>
        <v>25</v>
      </c>
      <c r="R13">
        <f>U5</f>
        <v>13</v>
      </c>
      <c r="S13">
        <f>RANK(R13,$R$11:$R$15)+COUNTIF($R$11:R13,R13)-1</f>
        <v>2</v>
      </c>
    </row>
    <row r="14" spans="1:21">
      <c r="A14" t="str">
        <f>A6</f>
        <v>25 to 34 yrs</v>
      </c>
      <c r="B14" s="6">
        <f>C6</f>
        <v>220</v>
      </c>
      <c r="C14" s="6">
        <f>E6</f>
        <v>93</v>
      </c>
      <c r="D14" s="6">
        <f>RANK(C14,$C$11:$C$16)+COUNTIF($C$11:C16,C14)-1</f>
        <v>3</v>
      </c>
      <c r="E14" s="11">
        <f>C14/B14</f>
        <v>0.42272727272727273</v>
      </c>
      <c r="P14" t="str">
        <f>A14</f>
        <v>25 to 34 yrs</v>
      </c>
      <c r="Q14">
        <f>O6</f>
        <v>6</v>
      </c>
      <c r="R14">
        <f>U6</f>
        <v>3</v>
      </c>
      <c r="S14">
        <f>RANK(R14,$R$11:$R$15)+COUNTIF($R$11:R14,R14)-1</f>
        <v>3</v>
      </c>
    </row>
    <row r="15" spans="1:21">
      <c r="A15" t="str">
        <f>A7</f>
        <v>65 yrs &amp; Above</v>
      </c>
      <c r="B15" s="6">
        <f>C7</f>
        <v>59</v>
      </c>
      <c r="C15" s="6">
        <f>E7</f>
        <v>17</v>
      </c>
      <c r="D15" s="6">
        <f>RANK(C15,$C$11:$C$16)+COUNTIF($C$11:C16,C15)-1</f>
        <v>5</v>
      </c>
      <c r="E15" s="11">
        <f>C15/B15</f>
        <v>0.28813559322033899</v>
      </c>
      <c r="P15" t="str">
        <f>A15</f>
        <v>65 yrs &amp; Above</v>
      </c>
      <c r="Q15">
        <f>O7</f>
        <v>7</v>
      </c>
      <c r="R15">
        <f>U7</f>
        <v>2</v>
      </c>
      <c r="S15">
        <f>RANK(R15,$R$11:$R$15)+COUNTIF($R$11:R15,R15)-1</f>
        <v>4</v>
      </c>
    </row>
    <row r="17" spans="1:23">
      <c r="A17" s="2" t="s">
        <v>40</v>
      </c>
      <c r="B17" s="2" t="str">
        <f>B10</f>
        <v>Visits</v>
      </c>
      <c r="C17" s="2" t="s">
        <v>64</v>
      </c>
      <c r="D17" s="2" t="s">
        <v>65</v>
      </c>
      <c r="P17" s="2" t="str">
        <f>P10</f>
        <v>Age_Group</v>
      </c>
      <c r="Q17" s="2" t="str">
        <f>Q10</f>
        <v>Visits</v>
      </c>
      <c r="R17" s="2" t="str">
        <f>R10</f>
        <v xml:space="preserve"> Purchased</v>
      </c>
      <c r="S17" s="2" t="s">
        <v>66</v>
      </c>
    </row>
    <row r="18" spans="1:23">
      <c r="A18" t="str">
        <f>INDEX($A$11:$A$15, MATCH(D18,$D$11:$D$15,0))</f>
        <v>65 yrs &amp; Above</v>
      </c>
      <c r="B18" s="6">
        <f>INDEX($B$11:$B$15, MATCH(D18,$D$11:$D$15,0))</f>
        <v>59</v>
      </c>
      <c r="C18" s="6">
        <f>INDEX($C$11:$C$15, MATCH(D18,$D$11:$D$15,0))</f>
        <v>17</v>
      </c>
      <c r="D18" s="6">
        <f>COUNT(D11:$D$15)</f>
        <v>5</v>
      </c>
      <c r="P18" t="str">
        <f>INDEX($P$11:$P$15,MATCH(S18,$S$11:$S$15,0))</f>
        <v>55 to 64 yrs</v>
      </c>
      <c r="Q18">
        <f>INDEX($Q$11:$Q$15,MATCH(S18,$S$11:$S$15,0))</f>
        <v>10</v>
      </c>
      <c r="R18">
        <f>INDEX($R$11:$R$15,MATCH(S18,$S$11:$S$15,0))</f>
        <v>1</v>
      </c>
      <c r="S18">
        <f>COUNT(S11:$S$15)</f>
        <v>5</v>
      </c>
    </row>
    <row r="19" spans="1:23">
      <c r="A19" t="str">
        <f>INDEX($A$11:$A$15, MATCH(D19,$D$11:$D$15,0))</f>
        <v>55 to 64 yrs</v>
      </c>
      <c r="B19" s="6">
        <f>INDEX($B$11:$B$15, MATCH(D19,$D$11:$D$15,0))</f>
        <v>130</v>
      </c>
      <c r="C19" s="6">
        <f>INDEX($C$11:$C$15, MATCH(D19,$D$11:$D$15,0))</f>
        <v>42</v>
      </c>
      <c r="D19" s="6">
        <f>COUNT(D12:$D$15)</f>
        <v>4</v>
      </c>
      <c r="P19" t="str">
        <f>INDEX($P$11:$P$15,MATCH(S19,$S$11:$S$15,0))</f>
        <v>65 yrs &amp; Above</v>
      </c>
      <c r="Q19">
        <f>INDEX($Q$11:$Q$15,MATCH(S19,$S$11:$S$15,0))</f>
        <v>7</v>
      </c>
      <c r="R19">
        <f>INDEX($R$11:$R$15,MATCH(S19,$S$11:$S$15,0))</f>
        <v>2</v>
      </c>
      <c r="S19">
        <f>COUNT(S12:$S$15)</f>
        <v>4</v>
      </c>
      <c r="V19" t="s">
        <v>85</v>
      </c>
      <c r="W19" t="str">
        <f>INDEX($P$18:$P$22,MATCH(1,$S$18:$S$22,0))</f>
        <v>35 to 44 yrs</v>
      </c>
    </row>
    <row r="20" spans="1:23">
      <c r="A20" t="str">
        <f>INDEX($A$11:$A$15, MATCH(D20,$D$11:$D$15,0))</f>
        <v>25 to 34 yrs</v>
      </c>
      <c r="B20" s="6">
        <f>INDEX($B$11:$B$15, MATCH(D20,$D$11:$D$15,0))</f>
        <v>220</v>
      </c>
      <c r="C20" s="6">
        <f>INDEX($C$11:$C$15, MATCH(D20,$D$11:$D$15,0))</f>
        <v>93</v>
      </c>
      <c r="D20" s="6">
        <f>COUNT(D13:$D$15)</f>
        <v>3</v>
      </c>
      <c r="P20" t="str">
        <f>INDEX($P$11:$P$15,MATCH(S20,$S$11:$S$15,0))</f>
        <v>25 to 34 yrs</v>
      </c>
      <c r="Q20">
        <f>INDEX($Q$11:$Q$15,MATCH(S20,$S$11:$S$15,0))</f>
        <v>6</v>
      </c>
      <c r="R20">
        <f>INDEX($R$11:$R$15,MATCH(S20,$S$11:$S$15,0))</f>
        <v>3</v>
      </c>
      <c r="S20">
        <f>COUNT(S13:$S$15)</f>
        <v>3</v>
      </c>
    </row>
    <row r="21" spans="1:23">
      <c r="A21" t="str">
        <f>INDEX($A$11:$A$15, MATCH(D21,$D$11:$D$15,0))</f>
        <v>45 to 54 yrs</v>
      </c>
      <c r="B21" s="6">
        <f>INDEX($B$11:$B$15, MATCH(D21,$D$11:$D$15,0))</f>
        <v>260</v>
      </c>
      <c r="C21" s="6">
        <f>INDEX($C$11:$C$15, MATCH(D21,$D$11:$D$15,0))</f>
        <v>132</v>
      </c>
      <c r="D21" s="6">
        <f>COUNT(D14:$D$15)</f>
        <v>2</v>
      </c>
      <c r="P21" t="str">
        <f>INDEX($P$11:$P$15,MATCH(S21,$S$11:$S$15,0))</f>
        <v>45 to 54 yrs</v>
      </c>
      <c r="Q21">
        <f>INDEX($Q$11:$Q$15,MATCH(S21,$S$11:$S$15,0))</f>
        <v>25</v>
      </c>
      <c r="R21">
        <f>INDEX($R$11:$R$15,MATCH(S21,$S$11:$S$15,0))</f>
        <v>13</v>
      </c>
      <c r="S21">
        <f>COUNT(S14:$S$15)</f>
        <v>2</v>
      </c>
      <c r="V21" t="s">
        <v>86</v>
      </c>
    </row>
    <row r="22" spans="1:23">
      <c r="A22" t="str">
        <f>INDEX($A$11:$A$15, MATCH(D22,$D$11:$D$15,0))</f>
        <v>35 to 44 yrs</v>
      </c>
      <c r="B22" s="6">
        <f>INDEX($B$11:$B$15, MATCH(D22,$D$11:$D$15,0))</f>
        <v>331</v>
      </c>
      <c r="C22" s="6">
        <f>INDEX($C$11:$C$15, MATCH(D22,$D$11:$D$15,0))</f>
        <v>197</v>
      </c>
      <c r="D22" s="6">
        <f>COUNT(D15:$D$15)</f>
        <v>1</v>
      </c>
      <c r="P22" t="str">
        <f>INDEX($P$11:$P$15,MATCH(S22,$S$11:$S$15,0))</f>
        <v>35 to 44 yrs</v>
      </c>
      <c r="Q22">
        <f>INDEX($Q$11:$Q$15,MATCH(S22,$S$11:$S$15,0))</f>
        <v>29</v>
      </c>
      <c r="R22">
        <f>INDEX($R$11:$R$15,MATCH(S22,$S$11:$S$15,0))</f>
        <v>19</v>
      </c>
      <c r="S22">
        <f>COUNT(S15:$S$15)</f>
        <v>1</v>
      </c>
    </row>
    <row r="25" spans="1:23">
      <c r="I25" t="s">
        <v>67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71AC-2AC7-4D70-98B3-008200F2DB16}">
  <dimension ref="A1:S15"/>
  <sheetViews>
    <sheetView topLeftCell="C1" workbookViewId="0">
      <selection activeCell="S14" sqref="S14"/>
    </sheetView>
  </sheetViews>
  <sheetFormatPr defaultRowHeight="15"/>
  <cols>
    <col min="1" max="1" width="18.28515625" bestFit="1" customWidth="1"/>
    <col min="2" max="2" width="9.85546875" bestFit="1" customWidth="1"/>
    <col min="3" max="3" width="10.140625" bestFit="1" customWidth="1"/>
    <col min="4" max="4" width="9.85546875" bestFit="1" customWidth="1"/>
    <col min="13" max="13" width="18.28515625" bestFit="1" customWidth="1"/>
    <col min="15" max="15" width="10.140625" bestFit="1" customWidth="1"/>
    <col min="19" max="19" width="12.140625" bestFit="1" customWidth="1"/>
  </cols>
  <sheetData>
    <row r="1" spans="1:19">
      <c r="A1" s="2" t="s">
        <v>39</v>
      </c>
      <c r="B1" s="8" t="s">
        <v>56</v>
      </c>
      <c r="C1" s="8"/>
      <c r="D1" s="8" t="s">
        <v>64</v>
      </c>
      <c r="E1" s="8"/>
      <c r="K1" s="8" t="s">
        <v>69</v>
      </c>
      <c r="L1" s="7"/>
      <c r="P1" s="2" t="s">
        <v>70</v>
      </c>
    </row>
    <row r="2" spans="1:19">
      <c r="A2" s="2"/>
      <c r="B2" t="s">
        <v>54</v>
      </c>
      <c r="C2" t="s">
        <v>55</v>
      </c>
      <c r="D2" t="s">
        <v>54</v>
      </c>
      <c r="E2" t="s">
        <v>57</v>
      </c>
      <c r="K2" t="s">
        <v>54</v>
      </c>
      <c r="L2" t="s">
        <v>57</v>
      </c>
      <c r="Q2" t="s">
        <v>54</v>
      </c>
      <c r="R2" t="s">
        <v>57</v>
      </c>
    </row>
    <row r="3" spans="1:19">
      <c r="A3" t="s">
        <v>45</v>
      </c>
      <c r="B3">
        <f>SUMPRODUCT(--(Bike_Customers_Data[Income_Group]=A3))</f>
        <v>476</v>
      </c>
      <c r="C3">
        <f>COUNTIF(Bike_Customers_Data[Income_Group],A3)</f>
        <v>476</v>
      </c>
      <c r="D3">
        <f>SUMPRODUCT(--((Bike_Customers_Data[Income_Group]=A3) * (Bike_Customers_Data[Purchased Bike]="Yes")))</f>
        <v>223</v>
      </c>
      <c r="E3">
        <f>COUNTIFS(Bike_Customers_Data[Income_Group],A3,
                        Bike_Customers_Data[Purchased Bike], "Yes")</f>
        <v>223</v>
      </c>
      <c r="K3">
        <f>SUMPRODUCT(
--(Bike_Customers_Data[Marital_Status]=Marital_Status)*
    (Bike_Customers_Data[Gender]=Gender)*
    (Bike_Customers_Data[Income_Group]=A3)*
(Bike_Customers_Data[Region]=Location)
)</f>
        <v>59</v>
      </c>
      <c r="L3">
        <f>COUNTIFS(
Bike_Customers_Data[Gender],Gender,
Bike_Customers_Data[Marital_Status],Marital_Status,
Bike_Customers_Data[Income_Group],A3,
Bike_Customers_Data[Region],Location)</f>
        <v>59</v>
      </c>
      <c r="Q3">
        <f>SUMPRODUCT(--(Bike_Customers_Data[Marital_Status]=Marital_Status) *
  (Bike_Customers_Data[Gender]=Gender) *
  (Bike_Customers_Data[Region]=Location) *
  (Bike_Customers_Data[Income_Group]=A3) *
  (Bike_Customers_Data[Purchased Bike] = "Yes")
)</f>
        <v>30</v>
      </c>
      <c r="R3">
        <f>COUNTIFS(Bike_Customers_Data[Income_Group],A3,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30</v>
      </c>
    </row>
    <row r="4" spans="1:19">
      <c r="A4" t="s">
        <v>46</v>
      </c>
      <c r="B4">
        <f>SUMPRODUCT(--(Bike_Customers_Data[Income_Group]=A4))</f>
        <v>464</v>
      </c>
      <c r="C4">
        <f>COUNTIF(Bike_Customers_Data[Income_Group],A4)</f>
        <v>464</v>
      </c>
      <c r="D4">
        <f>SUMPRODUCT(--((Bike_Customers_Data[Income_Group]=A4) * (Bike_Customers_Data[Purchased Bike]="Yes")))</f>
        <v>226</v>
      </c>
      <c r="E4">
        <f>COUNTIFS(Bike_Customers_Data[Income_Group],A4,
                        Bike_Customers_Data[Purchased Bike], "Yes")</f>
        <v>226</v>
      </c>
      <c r="K4">
        <f>SUMPRODUCT(
--(Bike_Customers_Data[Marital_Status]=Marital_Status)*
    (Bike_Customers_Data[Gender]=Gender)*
    (Bike_Customers_Data[Income_Group]=A4)*
(Bike_Customers_Data[Region]=Location)
)</f>
        <v>8</v>
      </c>
      <c r="L4">
        <f>COUNTIFS(
Bike_Customers_Data[Gender],Gender,
Bike_Customers_Data[Marital_Status],Marital_Status,
Bike_Customers_Data[Income_Group],A4,
Bike_Customers_Data[Region],Location)</f>
        <v>8</v>
      </c>
      <c r="Q4">
        <f>SUMPRODUCT(--(Bike_Customers_Data[Marital_Status]=Marital_Status) *
  (Bike_Customers_Data[Gender]=Gender) *
  (Bike_Customers_Data[Region]=Location) *
  (Bike_Customers_Data[Income_Group]=A4) *
  (Bike_Customers_Data[Purchased Bike] = "Yes")
)</f>
        <v>2</v>
      </c>
      <c r="R4">
        <f>COUNTIFS(Bike_Customers_Data[Income_Group],A4,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2</v>
      </c>
    </row>
    <row r="5" spans="1:19">
      <c r="A5" t="s">
        <v>47</v>
      </c>
      <c r="B5">
        <f>SUMPRODUCT(--(Bike_Customers_Data[Income_Group]=A5))</f>
        <v>60</v>
      </c>
      <c r="C5">
        <f>COUNTIF(Bike_Customers_Data[Income_Group],A5)</f>
        <v>60</v>
      </c>
      <c r="D5">
        <f>SUMPRODUCT(--((Bike_Customers_Data[Income_Group]=A5) * (Bike_Customers_Data[Purchased Bike]="Yes")))</f>
        <v>32</v>
      </c>
      <c r="E5">
        <f>COUNTIFS(Bike_Customers_Data[Income_Group],A5,
                        Bike_Customers_Data[Purchased Bike], "Yes")</f>
        <v>32</v>
      </c>
      <c r="K5">
        <f>SUMPRODUCT(
--(Bike_Customers_Data[Marital_Status]=Marital_Status)*
    (Bike_Customers_Data[Gender]=Gender)*
    (Bike_Customers_Data[Income_Group]=A5)*
(Bike_Customers_Data[Region]=Location)
)</f>
        <v>10</v>
      </c>
      <c r="L5">
        <f>COUNTIFS(
Bike_Customers_Data[Gender],Gender,
Bike_Customers_Data[Marital_Status],Marital_Status,
Bike_Customers_Data[Income_Group],A5,
Bike_Customers_Data[Region],Location)</f>
        <v>10</v>
      </c>
      <c r="Q5">
        <f>SUMPRODUCT(--(Bike_Customers_Data[Marital_Status]=Marital_Status) *
  (Bike_Customers_Data[Gender]=Gender) *
  (Bike_Customers_Data[Region]=Location) *
  (Bike_Customers_Data[Income_Group]=A5) *
  (Bike_Customers_Data[Purchased Bike] = "Yes")
)</f>
        <v>6</v>
      </c>
      <c r="R5">
        <f>COUNTIFS(Bike_Customers_Data[Income_Group],A5,
                         Bike_Customers_Data[Marital_Status],Marital_Status,
                         Bike_Customers_Data[Gender],Gender,
                         Bike_Customers_Data[Region],Location,
                         Bike_Customers_Data[Purchased Bike],"Yes"
)</f>
        <v>6</v>
      </c>
    </row>
    <row r="7" spans="1:19">
      <c r="A7" s="2" t="s">
        <v>39</v>
      </c>
      <c r="B7" s="2" t="s">
        <v>56</v>
      </c>
      <c r="C7" s="2" t="s">
        <v>64</v>
      </c>
      <c r="D7" s="2" t="s">
        <v>62</v>
      </c>
      <c r="M7" s="2" t="str">
        <f>A7</f>
        <v>Income_Group</v>
      </c>
      <c r="N7" s="2" t="str">
        <f>B7</f>
        <v>Visits</v>
      </c>
      <c r="O7" s="2" t="str">
        <f>C7</f>
        <v>Purchased</v>
      </c>
      <c r="P7" s="2" t="s">
        <v>62</v>
      </c>
    </row>
    <row r="8" spans="1:19">
      <c r="A8" t="str">
        <f>A3</f>
        <v>Lower Class</v>
      </c>
      <c r="B8">
        <f>C3</f>
        <v>476</v>
      </c>
      <c r="C8">
        <f>E3</f>
        <v>223</v>
      </c>
      <c r="D8">
        <f>RANK(C8,$C$8:$C$10)+COUNTIF(C8:$C$8,C8)-1</f>
        <v>2</v>
      </c>
      <c r="M8" t="str">
        <f>A8</f>
        <v>Lower Class</v>
      </c>
      <c r="N8">
        <f>L3</f>
        <v>59</v>
      </c>
      <c r="O8">
        <f>R3</f>
        <v>30</v>
      </c>
      <c r="P8">
        <f>RANK(O8,$O$8:$O$10)+COUNTIF($O8:O$8,O8)-1</f>
        <v>1</v>
      </c>
    </row>
    <row r="9" spans="1:19">
      <c r="A9" t="str">
        <f>A4</f>
        <v>Middle Class</v>
      </c>
      <c r="B9">
        <f>C4</f>
        <v>464</v>
      </c>
      <c r="C9">
        <f>E4</f>
        <v>226</v>
      </c>
      <c r="D9">
        <f>RANK(C9,$C$8:$C$10)+COUNTIF(C$8:$C9,C9)-1</f>
        <v>1</v>
      </c>
      <c r="M9" t="str">
        <f>A9</f>
        <v>Middle Class</v>
      </c>
      <c r="N9">
        <f>L4</f>
        <v>8</v>
      </c>
      <c r="O9">
        <f>R4</f>
        <v>2</v>
      </c>
      <c r="P9">
        <f>RANK(O9,$O$8:$O$10)+COUNTIF($O$8:O9,O9)-1</f>
        <v>3</v>
      </c>
    </row>
    <row r="10" spans="1:19">
      <c r="A10" t="str">
        <f>A5</f>
        <v>Upper Middle Class</v>
      </c>
      <c r="B10">
        <f>C5</f>
        <v>60</v>
      </c>
      <c r="C10">
        <f>E5</f>
        <v>32</v>
      </c>
      <c r="D10">
        <f>RANK(C10,$C$8:$C$10)+COUNTIF(C$8:$C10,C10)-1</f>
        <v>3</v>
      </c>
      <c r="M10" t="str">
        <f>A10</f>
        <v>Upper Middle Class</v>
      </c>
      <c r="N10">
        <f>L5</f>
        <v>10</v>
      </c>
      <c r="O10">
        <f>R5</f>
        <v>6</v>
      </c>
      <c r="P10">
        <f>RANK(O10,$O$8:$O$10)+COUNTIF($O$8:O10,O10)-1</f>
        <v>2</v>
      </c>
    </row>
    <row r="12" spans="1:19">
      <c r="A12" s="2" t="s">
        <v>39</v>
      </c>
      <c r="B12" s="2" t="s">
        <v>56</v>
      </c>
      <c r="C12" s="2" t="s">
        <v>64</v>
      </c>
      <c r="D12" s="2" t="s">
        <v>66</v>
      </c>
      <c r="M12" s="2" t="str">
        <f>A12</f>
        <v>Income_Group</v>
      </c>
      <c r="N12" s="2" t="str">
        <f>B12</f>
        <v>Visits</v>
      </c>
      <c r="O12" s="2" t="str">
        <f>C12</f>
        <v>Purchased</v>
      </c>
      <c r="P12" s="2" t="s">
        <v>66</v>
      </c>
    </row>
    <row r="13" spans="1:19">
      <c r="A13" t="str">
        <f>INDEX($A$8:$A$10,MATCH(D13,$D$8:$D$10,0))</f>
        <v>Upper Middle Class</v>
      </c>
      <c r="B13">
        <f>INDEX($B$8:$B$10,MATCH(D13,$D$8:$D$10,0))</f>
        <v>60</v>
      </c>
      <c r="C13">
        <f>INDEX($C$8:$C$10,MATCH(D13,$D$8:$D$10,0))</f>
        <v>32</v>
      </c>
      <c r="D13">
        <f>COUNT(C8:$C$11)</f>
        <v>3</v>
      </c>
      <c r="M13" t="str">
        <f>INDEX($M$8:$M$10,MATCH(P13,$P$8:$P$10,0))</f>
        <v>Middle Class</v>
      </c>
      <c r="N13">
        <f>INDEX($N$8:$N$10,MATCH(P13,$P$8:$P$10,0))</f>
        <v>8</v>
      </c>
      <c r="O13">
        <f>INDEX($O$8:$O$10,MATCH(P13,$P$8:$P$10,0))</f>
        <v>2</v>
      </c>
      <c r="P13">
        <f>COUNT($P8:P$11)</f>
        <v>3</v>
      </c>
      <c r="R13" t="s">
        <v>87</v>
      </c>
      <c r="S13" t="str">
        <f>INDEX($M$13:$M$15,MATCH(1,$P$13:$P$15,0))</f>
        <v>Lower Class</v>
      </c>
    </row>
    <row r="14" spans="1:19">
      <c r="A14" t="str">
        <f>INDEX($A$8:$A$10,MATCH(D14,$D$8:$D$10,0))</f>
        <v>Lower Class</v>
      </c>
      <c r="B14">
        <f>INDEX($B$8:$B$10,MATCH(D14,$D$8:$D$10,0))</f>
        <v>476</v>
      </c>
      <c r="C14">
        <f>INDEX($C$8:$C$10,MATCH(D14,$D$8:$D$10,0))</f>
        <v>223</v>
      </c>
      <c r="D14">
        <f>COUNT(C9:$C$11)</f>
        <v>2</v>
      </c>
      <c r="M14" t="str">
        <f>INDEX($M$8:$M$10,MATCH(P14,$P$8:$P$10,0))</f>
        <v>Upper Middle Class</v>
      </c>
      <c r="N14">
        <f>INDEX($N$8:$N$10,MATCH(P14,$P$8:$P$10,0))</f>
        <v>10</v>
      </c>
      <c r="O14">
        <f>INDEX($O$8:$O$10,MATCH(P14,$P$8:$P$10,0))</f>
        <v>6</v>
      </c>
      <c r="P14">
        <f>COUNT($P9:P$11)</f>
        <v>2</v>
      </c>
    </row>
    <row r="15" spans="1:19">
      <c r="A15" t="str">
        <f>INDEX($A$8:$A$10,MATCH(D15,$D$8:$D$10,0))</f>
        <v>Middle Class</v>
      </c>
      <c r="B15">
        <f>INDEX($B$8:$B$10,MATCH(D15,$D$8:$D$10,0))</f>
        <v>464</v>
      </c>
      <c r="C15">
        <f>INDEX($C$8:$C$10,MATCH(D15,$D$8:$D$10,0))</f>
        <v>226</v>
      </c>
      <c r="D15">
        <f>COUNT(C10:$C$11)</f>
        <v>1</v>
      </c>
      <c r="M15" t="str">
        <f>INDEX($M$8:$M$10,MATCH(P15,$P$8:$P$10,0))</f>
        <v>Lower Class</v>
      </c>
      <c r="N15">
        <f>INDEX($N$8:$N$10,MATCH(P15,$P$8:$P$10,0))</f>
        <v>59</v>
      </c>
      <c r="O15">
        <f>INDEX($O$8:$O$10,MATCH(P15,$P$8:$P$10,0))</f>
        <v>30</v>
      </c>
      <c r="P15">
        <f>COUNT($P10:P$11)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2CF5-4298-45A7-9DC7-FE757FDD7DA4}">
  <dimension ref="A1:E15"/>
  <sheetViews>
    <sheetView workbookViewId="0">
      <selection activeCell="D3" sqref="D3"/>
    </sheetView>
  </sheetViews>
  <sheetFormatPr defaultRowHeight="15"/>
  <cols>
    <col min="2" max="2" width="9.85546875" bestFit="1" customWidth="1"/>
    <col min="3" max="3" width="10.140625" bestFit="1" customWidth="1"/>
    <col min="4" max="4" width="9.85546875" bestFit="1" customWidth="1"/>
  </cols>
  <sheetData>
    <row r="1" spans="1:5">
      <c r="A1" s="2" t="s">
        <v>2</v>
      </c>
      <c r="B1" s="8" t="s">
        <v>56</v>
      </c>
      <c r="C1" s="7"/>
      <c r="D1" s="8" t="s">
        <v>64</v>
      </c>
      <c r="E1" s="7"/>
    </row>
    <row r="2" spans="1:5">
      <c r="A2" s="2"/>
      <c r="B2" t="s">
        <v>54</v>
      </c>
      <c r="C2" t="s">
        <v>55</v>
      </c>
      <c r="D2" t="s">
        <v>54</v>
      </c>
      <c r="E2" t="s">
        <v>57</v>
      </c>
    </row>
    <row r="3" spans="1:5">
      <c r="A3" t="s">
        <v>43</v>
      </c>
      <c r="B3">
        <f>SUMPRODUCT(--(Bike_Customers_Data[Gender]=A3))</f>
        <v>489</v>
      </c>
      <c r="C3">
        <f>COUNTIF(Bike_Customers_Data[Gender],A3)</f>
        <v>489</v>
      </c>
      <c r="D3">
        <f>SUMPRODUCT(--(Bike_Customers_Data[Gender]=A3)*(Bike_Customers_Data[Purchased Bike]="Yes"))</f>
        <v>239</v>
      </c>
      <c r="E3">
        <f>COUNTIFS(Bike_Customers_Data[Gender],A3,Bike_Customers_Data[Purchased Bike],"Yes")</f>
        <v>239</v>
      </c>
    </row>
    <row r="4" spans="1:5">
      <c r="A4" t="s">
        <v>44</v>
      </c>
      <c r="B4">
        <f>SUMPRODUCT(--(Bike_Customers_Data[Gender]=A4))</f>
        <v>511</v>
      </c>
      <c r="C4">
        <f>COUNTIF(Bike_Customers_Data[Gender],A4)</f>
        <v>511</v>
      </c>
      <c r="D4">
        <f>SUMPRODUCT(--(Bike_Customers_Data[Gender]=A4)*(Bike_Customers_Data[Purchased Bike]="Yes"))</f>
        <v>242</v>
      </c>
      <c r="E4">
        <f>COUNTIFS(Bike_Customers_Data[Gender],A4,Bike_Customers_Data[Purchased Bike],"Yes")</f>
        <v>242</v>
      </c>
    </row>
    <row r="8" spans="1:5">
      <c r="A8" s="2" t="s">
        <v>2</v>
      </c>
      <c r="B8" s="2" t="s">
        <v>56</v>
      </c>
      <c r="C8" s="2" t="s">
        <v>64</v>
      </c>
      <c r="D8" s="2" t="s">
        <v>62</v>
      </c>
    </row>
    <row r="9" spans="1:5">
      <c r="A9" t="str">
        <f>A3</f>
        <v>Female</v>
      </c>
      <c r="B9">
        <f>C3</f>
        <v>489</v>
      </c>
      <c r="C9">
        <f>E3</f>
        <v>239</v>
      </c>
      <c r="D9">
        <f>RANK(C9,$C$9:$C$10)+COUNTIF(C9:$C$9,C9)-1</f>
        <v>2</v>
      </c>
    </row>
    <row r="10" spans="1:5">
      <c r="A10" t="str">
        <f>A4</f>
        <v>Male</v>
      </c>
      <c r="B10">
        <f>C4</f>
        <v>511</v>
      </c>
      <c r="C10">
        <f>E4</f>
        <v>242</v>
      </c>
      <c r="D10">
        <f>RANK(C10,$C$9:$C$10)+COUNTIF(C$9:$C10,C10)-1</f>
        <v>1</v>
      </c>
    </row>
    <row r="13" spans="1:5">
      <c r="A13" s="2" t="str">
        <f>A8</f>
        <v>Gender</v>
      </c>
      <c r="B13" s="2" t="str">
        <f>B8</f>
        <v>Visits</v>
      </c>
      <c r="C13" s="2" t="str">
        <f>C8</f>
        <v>Purchased</v>
      </c>
      <c r="D13" s="2" t="s">
        <v>66</v>
      </c>
      <c r="E13" s="2" t="s">
        <v>68</v>
      </c>
    </row>
    <row r="14" spans="1:5">
      <c r="A14" t="str">
        <f>INDEX($A$9:$A$10,MATCH(D14,$D$9:$D$10,0))</f>
        <v>Female</v>
      </c>
      <c r="B14">
        <f>INDEX($B$9:$B$10,MATCH(D14,$D$9:$D$10,0))</f>
        <v>489</v>
      </c>
      <c r="C14">
        <f>INDEX($C$9:$C$10,MATCH(D14,$D$9:$D$10,0))</f>
        <v>239</v>
      </c>
      <c r="D14">
        <f>COUNT(D9:$D$10)</f>
        <v>2</v>
      </c>
      <c r="E14" s="10">
        <f>C14/B14</f>
        <v>0.4887525562372188</v>
      </c>
    </row>
    <row r="15" spans="1:5">
      <c r="A15" t="str">
        <f>INDEX($A$9:$A$10,MATCH(D15,$D$9:$D$10,0))</f>
        <v>Male</v>
      </c>
      <c r="B15">
        <f>INDEX($B$9:$B$10,MATCH(D15,$D$9:$D$10,0))</f>
        <v>511</v>
      </c>
      <c r="C15">
        <f>INDEX($C$9:$C$10,MATCH(D15,$D$9:$D$10,0))</f>
        <v>242</v>
      </c>
      <c r="D15">
        <f>COUNT(D10:$D$10)</f>
        <v>1</v>
      </c>
      <c r="E15" s="10">
        <f>C15/B15</f>
        <v>0.47358121330724068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6FB1-0869-41E7-8E6C-7EA11ABFD058}">
  <dimension ref="A1:Z39"/>
  <sheetViews>
    <sheetView topLeftCell="A22" workbookViewId="0">
      <selection activeCell="E8" sqref="E8"/>
    </sheetView>
  </sheetViews>
  <sheetFormatPr defaultRowHeight="15"/>
  <cols>
    <col min="1" max="1" width="18.5703125" bestFit="1" customWidth="1"/>
    <col min="4" max="5" width="12" bestFit="1" customWidth="1"/>
    <col min="19" max="19" width="14" bestFit="1" customWidth="1"/>
    <col min="23" max="23" width="12" bestFit="1" customWidth="1"/>
  </cols>
  <sheetData>
    <row r="1" spans="1:26">
      <c r="A1" s="2" t="s">
        <v>59</v>
      </c>
      <c r="B1" s="2" t="s">
        <v>71</v>
      </c>
      <c r="F1" s="2" t="s">
        <v>74</v>
      </c>
      <c r="K1" s="2" t="s">
        <v>72</v>
      </c>
      <c r="Q1" s="2" t="s">
        <v>90</v>
      </c>
      <c r="S1" s="8" t="s">
        <v>63</v>
      </c>
      <c r="T1" s="7"/>
      <c r="V1" s="8" t="s">
        <v>73</v>
      </c>
      <c r="W1" s="7"/>
      <c r="Y1" s="2" t="s">
        <v>72</v>
      </c>
    </row>
    <row r="2" spans="1:26">
      <c r="B2" t="s">
        <v>54</v>
      </c>
      <c r="C2" t="s">
        <v>55</v>
      </c>
      <c r="F2" t="s">
        <v>54</v>
      </c>
      <c r="G2" t="s">
        <v>55</v>
      </c>
      <c r="K2" t="s">
        <v>54</v>
      </c>
      <c r="L2" t="s">
        <v>55</v>
      </c>
      <c r="Q2" s="2" t="s">
        <v>88</v>
      </c>
      <c r="S2" t="s">
        <v>54</v>
      </c>
      <c r="T2" t="s">
        <v>55</v>
      </c>
      <c r="V2" t="s">
        <v>54</v>
      </c>
      <c r="W2" t="s">
        <v>57</v>
      </c>
    </row>
    <row r="3" spans="1:26">
      <c r="A3" t="s">
        <v>19</v>
      </c>
      <c r="B3">
        <f>SUMPRODUCT(--(Bike_Customers_Data[Region]=$A3) *
  (Bike_Customers_Data[Gender]=Gender) *
  (Bike_Customers_Data[Marital_Status]=Marital_Status)
)</f>
        <v>77</v>
      </c>
      <c r="C3">
        <f>COUNTIFS(Bike_Customers_Data[Region],$A3,
                     Bike_Customers_Data[Gender],Gender,
                     Bike_Customers_Data[Marital_Status],Marital_Status
)</f>
        <v>77</v>
      </c>
      <c r="F3">
        <f>SUMPRODUCT(--(Bike_Customers_Data[Region]=$A3) *
  (Bike_Customers_Data[Gender]=Gender) *
  (Bike_Customers_Data[Marital_Status]=Marital_Status) *
  (Bike_Customers_Data[Purchased Bike] = "Yes")
)</f>
        <v>38</v>
      </c>
      <c r="G3">
        <f>COUNTIFS(Bike_Customers_Data[Region],$A3,
                     Bike_Customers_Data[Gender],Gender,
                     Bike_Customers_Data[Marital_Status],Marital_Status,
                     Bike_Customers_Data[Purchased Bike],"Yes")</f>
        <v>38</v>
      </c>
      <c r="K3">
        <f>SUMPRODUCT(--(Bike_Customers_Data[Region]=$A3) *
  (Bike_Customers_Data[Gender]=Gender) *
  (Bike_Customers_Data[Marital_Status]=Marital_Status) *
  (Bike_Customers_Data[Purchased Bike] = "No")
)</f>
        <v>39</v>
      </c>
      <c r="L3">
        <f>COUNTIFS(Bike_Customers_Data[Region],$A3,
                     Bike_Customers_Data[Gender],Gender,
                     Bike_Customers_Data[Marital_Status],Marital_Status,
                     Bike_Customers_Data[Purchased Bike],"No")</f>
        <v>39</v>
      </c>
      <c r="Q3" s="2" t="s">
        <v>89</v>
      </c>
      <c r="S3">
        <f>SUMPRODUCT(--(Bike_Customers_Data[Region]=A3))</f>
        <v>300</v>
      </c>
      <c r="T3">
        <f>COUNTIF(Bike_Customers_Data[Region],A3)</f>
        <v>300</v>
      </c>
      <c r="V3">
        <f>SUMPRODUCT(--(Bike_Customers_Data[Region]=A3) * (Bike_Customers_Data[Purchased Bike]="Yes"))</f>
        <v>148</v>
      </c>
      <c r="W3">
        <f>COUNTIFS(Bike_Customers_Data[Region],$A3,
                      Bike_Customers_Data[Purchased Bike],"Yes")</f>
        <v>148</v>
      </c>
      <c r="Y3">
        <f>SUMPRODUCT(--(Bike_Customers_Data[Region]=$A3) * (Bike_Customers_Data[Purchased Bike]="No"))</f>
        <v>152</v>
      </c>
      <c r="Z3">
        <f>COUNTIFS(Bike_Customers_Data[Region],$A3,
                      Bike_Customers_Data[Purchased Bike],"No")</f>
        <v>152</v>
      </c>
    </row>
    <row r="4" spans="1:26">
      <c r="A4" t="s">
        <v>27</v>
      </c>
      <c r="B4">
        <f>SUMPRODUCT(--(Bike_Customers_Data[Region]=$A4) *
  (Bike_Customers_Data[Gender]=Gender) *
  (Bike_Customers_Data[Marital_Status]=Marital_Status)
)</f>
        <v>38</v>
      </c>
      <c r="C4">
        <f>COUNTIFS(Bike_Customers_Data[Region],$A4,
                     Bike_Customers_Data[Gender],Gender,
                     Bike_Customers_Data[Marital_Status],Marital_Status
)</f>
        <v>38</v>
      </c>
      <c r="F4">
        <f>SUMPRODUCT(--(Bike_Customers_Data[Region]=$A4) *
  (Bike_Customers_Data[Gender]=Gender) *
  (Bike_Customers_Data[Marital_Status]=Marital_Status) *
  (Bike_Customers_Data[Purchased Bike] = "Yes")
)</f>
        <v>19</v>
      </c>
      <c r="G4">
        <f>COUNTIFS(Bike_Customers_Data[Region],$A4,
                     Bike_Customers_Data[Gender],Gender,
                     Bike_Customers_Data[Marital_Status],Marital_Status,
                     Bike_Customers_Data[Purchased Bike],"Yes")</f>
        <v>19</v>
      </c>
      <c r="K4">
        <f>SUMPRODUCT(--(Bike_Customers_Data[Region]=$A4) *
  (Bike_Customers_Data[Gender]=Gender) *
  (Bike_Customers_Data[Marital_Status]=Marital_Status) *
  (Bike_Customers_Data[Purchased Bike] = "No")
)</f>
        <v>19</v>
      </c>
      <c r="L4">
        <f>COUNTIFS(Bike_Customers_Data[Region],$A4,
                     Bike_Customers_Data[Gender],Gender,
                     Bike_Customers_Data[Marital_Status],Marital_Status,
                     Bike_Customers_Data[Purchased Bike],"No")</f>
        <v>19</v>
      </c>
      <c r="S4">
        <f>SUMPRODUCT(--(Bike_Customers_Data[Region]=A4))</f>
        <v>192</v>
      </c>
      <c r="T4">
        <f>COUNTIF(Bike_Customers_Data[Region],A4)</f>
        <v>192</v>
      </c>
      <c r="V4">
        <f>SUMPRODUCT(--(Bike_Customers_Data[Region]=A4) * (Bike_Customers_Data[Purchased Bike]="Yes"))</f>
        <v>113</v>
      </c>
      <c r="W4">
        <f>COUNTIFS(Bike_Customers_Data[Region],$A4,
                      Bike_Customers_Data[Purchased Bike],"Yes")</f>
        <v>113</v>
      </c>
      <c r="Y4">
        <f>SUMPRODUCT(--(Bike_Customers_Data[Region]=$A4) * (Bike_Customers_Data[Purchased Bike]="No"))</f>
        <v>79</v>
      </c>
      <c r="Z4">
        <f>COUNTIFS(Bike_Customers_Data[Region],$A4,
                      Bike_Customers_Data[Purchased Bike],"No")</f>
        <v>79</v>
      </c>
    </row>
    <row r="5" spans="1:26">
      <c r="A5" t="s">
        <v>35</v>
      </c>
      <c r="B5">
        <f>SUMPRODUCT(--(Bike_Customers_Data[Region]=$A5) *
  (Bike_Customers_Data[Gender]=Gender) *
  (Bike_Customers_Data[Marital_Status]=Marital_Status)
)</f>
        <v>124</v>
      </c>
      <c r="C5">
        <f>COUNTIFS(Bike_Customers_Data[Region],$A5,
                     Bike_Customers_Data[Gender],Gender,
                     Bike_Customers_Data[Marital_Status],Marital_Status
)</f>
        <v>124</v>
      </c>
      <c r="F5">
        <f>SUMPRODUCT(--(Bike_Customers_Data[Region]=$A5) *
  (Bike_Customers_Data[Gender]=Gender) *
  (Bike_Customers_Data[Marital_Status]=Marital_Status) *
  (Bike_Customers_Data[Purchased Bike] = "Yes")
)</f>
        <v>51</v>
      </c>
      <c r="G5">
        <f>COUNTIFS(Bike_Customers_Data[Region],$A5,
                     Bike_Customers_Data[Gender],Gender,
                     Bike_Customers_Data[Marital_Status],Marital_Status,
                     Bike_Customers_Data[Purchased Bike],"Yes")</f>
        <v>51</v>
      </c>
      <c r="K5">
        <f>SUMPRODUCT(--(Bike_Customers_Data[Region]=$A5) *
  (Bike_Customers_Data[Gender]=Gender) *
  (Bike_Customers_Data[Marital_Status]=Marital_Status) *
  (Bike_Customers_Data[Purchased Bike] = "No")
)</f>
        <v>73</v>
      </c>
      <c r="L5">
        <f>COUNTIFS(Bike_Customers_Data[Region],$A5,
                     Bike_Customers_Data[Gender],Gender,
                     Bike_Customers_Data[Marital_Status],Marital_Status,
                     Bike_Customers_Data[Purchased Bike],"No")</f>
        <v>73</v>
      </c>
      <c r="S5">
        <f>SUMPRODUCT(--(Bike_Customers_Data[Region]=A5))</f>
        <v>508</v>
      </c>
      <c r="T5">
        <f>COUNTIF(Bike_Customers_Data[Region],A5)</f>
        <v>508</v>
      </c>
      <c r="V5">
        <f>SUMPRODUCT(--(Bike_Customers_Data[Region]=A5) * (Bike_Customers_Data[Purchased Bike]="Yes"))</f>
        <v>220</v>
      </c>
      <c r="W5">
        <f>COUNTIFS(Bike_Customers_Data[Region],$A5,
                      Bike_Customers_Data[Purchased Bike],"Yes")</f>
        <v>220</v>
      </c>
      <c r="Y5">
        <f>SUMPRODUCT(--(Bike_Customers_Data[Region]=$A5) * (Bike_Customers_Data[Purchased Bike]="No"))</f>
        <v>288</v>
      </c>
      <c r="Z5">
        <f>COUNTIFS(Bike_Customers_Data[Region],$A5,
                      Bike_Customers_Data[Purchased Bike],"No")</f>
        <v>288</v>
      </c>
    </row>
    <row r="7" spans="1:26">
      <c r="A7" s="2" t="s">
        <v>10</v>
      </c>
      <c r="B7" s="2" t="s">
        <v>63</v>
      </c>
      <c r="C7" s="2" t="s">
        <v>73</v>
      </c>
      <c r="D7" s="2" t="s">
        <v>75</v>
      </c>
      <c r="E7" s="2" t="s">
        <v>62</v>
      </c>
      <c r="S7" s="2" t="s">
        <v>10</v>
      </c>
      <c r="T7" s="2" t="s">
        <v>63</v>
      </c>
      <c r="U7" s="2" t="s">
        <v>73</v>
      </c>
      <c r="V7" s="2" t="s">
        <v>75</v>
      </c>
    </row>
    <row r="8" spans="1:26">
      <c r="A8" t="str">
        <f>A3</f>
        <v>Europe</v>
      </c>
      <c r="B8">
        <f>C3</f>
        <v>77</v>
      </c>
      <c r="C8">
        <f>G3</f>
        <v>38</v>
      </c>
      <c r="D8">
        <f>L3</f>
        <v>39</v>
      </c>
      <c r="E8">
        <f>RANK(C8,$C$8:$C$10)+COUNTIF($C$8:C8,C8)-1</f>
        <v>2</v>
      </c>
      <c r="S8" t="str">
        <f>A8</f>
        <v>Europe</v>
      </c>
      <c r="T8">
        <f>T3</f>
        <v>300</v>
      </c>
      <c r="U8">
        <f>W3</f>
        <v>148</v>
      </c>
      <c r="V8">
        <f>Z3</f>
        <v>152</v>
      </c>
    </row>
    <row r="9" spans="1:26">
      <c r="A9" t="str">
        <f>A4</f>
        <v>Pacific</v>
      </c>
      <c r="B9">
        <f>C4</f>
        <v>38</v>
      </c>
      <c r="C9">
        <f>G4</f>
        <v>19</v>
      </c>
      <c r="D9">
        <f>L4</f>
        <v>19</v>
      </c>
      <c r="E9">
        <f>RANK(C9,$C$8:$C$10)+COUNTIF($C$8:C9,C9)-1</f>
        <v>3</v>
      </c>
      <c r="S9" t="str">
        <f>A9</f>
        <v>Pacific</v>
      </c>
      <c r="T9">
        <f>T4</f>
        <v>192</v>
      </c>
      <c r="U9">
        <f>W4</f>
        <v>113</v>
      </c>
      <c r="V9">
        <f>Z4</f>
        <v>79</v>
      </c>
    </row>
    <row r="10" spans="1:26">
      <c r="A10" t="str">
        <f>A5</f>
        <v>North America</v>
      </c>
      <c r="B10">
        <f>C5</f>
        <v>124</v>
      </c>
      <c r="C10">
        <f>G5</f>
        <v>51</v>
      </c>
      <c r="D10">
        <f>L5</f>
        <v>73</v>
      </c>
      <c r="E10">
        <f>RANK(C10,$C$8:$C$10)+COUNTIF($C$8:C10,C10)-1</f>
        <v>1</v>
      </c>
      <c r="S10" t="str">
        <f>A10</f>
        <v>North America</v>
      </c>
      <c r="T10">
        <f>T5</f>
        <v>508</v>
      </c>
      <c r="U10">
        <f>W5</f>
        <v>220</v>
      </c>
      <c r="V10">
        <f>Z5</f>
        <v>288</v>
      </c>
    </row>
    <row r="13" spans="1:26">
      <c r="S13" s="14" t="s">
        <v>10</v>
      </c>
      <c r="T13" s="2" t="s">
        <v>63</v>
      </c>
      <c r="U13" s="2" t="s">
        <v>73</v>
      </c>
      <c r="V13" s="2" t="s">
        <v>76</v>
      </c>
      <c r="W13" s="2" t="s">
        <v>75</v>
      </c>
      <c r="X13" s="2" t="s">
        <v>77</v>
      </c>
      <c r="Z13" s="2" t="s">
        <v>68</v>
      </c>
    </row>
    <row r="14" spans="1:26">
      <c r="A14" s="14" t="s">
        <v>10</v>
      </c>
      <c r="B14" s="2" t="s">
        <v>63</v>
      </c>
      <c r="C14" s="2" t="s">
        <v>73</v>
      </c>
      <c r="D14" s="2" t="s">
        <v>76</v>
      </c>
      <c r="E14" s="2" t="s">
        <v>75</v>
      </c>
      <c r="F14" s="2" t="s">
        <v>77</v>
      </c>
      <c r="S14" t="str">
        <f>S8</f>
        <v>Europe</v>
      </c>
      <c r="T14">
        <f>T8</f>
        <v>300</v>
      </c>
      <c r="U14">
        <f>U8</f>
        <v>148</v>
      </c>
      <c r="V14" s="13">
        <f>U14/MAX($U$14:$U$16,$W$14:$W$16)</f>
        <v>0.51388888888888884</v>
      </c>
      <c r="W14">
        <f>V8</f>
        <v>152</v>
      </c>
      <c r="X14" s="13">
        <f>W14/MAX($U$14:$U$16,$W$14:$W$16)</f>
        <v>0.52777777777777779</v>
      </c>
      <c r="Z14" s="10">
        <f>U14/T14</f>
        <v>0.49333333333333335</v>
      </c>
    </row>
    <row r="15" spans="1:26">
      <c r="A15" t="str">
        <f>A8</f>
        <v>Europe</v>
      </c>
      <c r="B15">
        <f>B8</f>
        <v>77</v>
      </c>
      <c r="C15">
        <f>C8</f>
        <v>38</v>
      </c>
      <c r="D15" s="13">
        <f>C15/MAX($C$15:$C$17,$E$15:$E$17)</f>
        <v>0.52054794520547942</v>
      </c>
      <c r="E15">
        <f>D8</f>
        <v>39</v>
      </c>
      <c r="F15" s="13">
        <f>E15/MAX($C$15:$C$17,$E$15:$E$17)</f>
        <v>0.53424657534246578</v>
      </c>
      <c r="S15" t="str">
        <f t="shared" ref="S15:U16" si="0">S9</f>
        <v>Pacific</v>
      </c>
      <c r="T15">
        <f t="shared" si="0"/>
        <v>192</v>
      </c>
      <c r="U15">
        <f t="shared" si="0"/>
        <v>113</v>
      </c>
      <c r="V15" s="13">
        <f>U15/MAX($U$14:$U$16,$W$14:$W$16)</f>
        <v>0.3923611111111111</v>
      </c>
      <c r="W15">
        <f>V9</f>
        <v>79</v>
      </c>
      <c r="X15" s="13">
        <f>W15/MAX($U$14:$U$16,$W$14:$W$16)</f>
        <v>0.27430555555555558</v>
      </c>
      <c r="Z15" s="10">
        <f>U15/T15</f>
        <v>0.58854166666666663</v>
      </c>
    </row>
    <row r="16" spans="1:26">
      <c r="A16" t="str">
        <f t="shared" ref="A16:C17" si="1">A9</f>
        <v>Pacific</v>
      </c>
      <c r="B16">
        <f t="shared" si="1"/>
        <v>38</v>
      </c>
      <c r="C16">
        <f t="shared" si="1"/>
        <v>19</v>
      </c>
      <c r="D16" s="13">
        <f t="shared" ref="D16:F17" si="2">C16/MAX($C$15:$C$17,$E$15:$E$17)</f>
        <v>0.26027397260273971</v>
      </c>
      <c r="E16">
        <f>D9</f>
        <v>19</v>
      </c>
      <c r="F16" s="13">
        <f>E16/MAX($C$15:$C$17,$E$15:$E$17)</f>
        <v>0.26027397260273971</v>
      </c>
      <c r="S16" t="str">
        <f t="shared" si="0"/>
        <v>North America</v>
      </c>
      <c r="T16">
        <f t="shared" si="0"/>
        <v>508</v>
      </c>
      <c r="U16">
        <f t="shared" si="0"/>
        <v>220</v>
      </c>
      <c r="V16" s="13">
        <f>U16/MAX($U$14:$U$16,$W$14:$W$16)</f>
        <v>0.76388888888888884</v>
      </c>
      <c r="W16">
        <f>V10</f>
        <v>288</v>
      </c>
      <c r="X16" s="13">
        <f>W16/MAX($U$14:$U$16,$W$14:$W$16)</f>
        <v>1</v>
      </c>
      <c r="Z16" s="10">
        <f>U16/T16</f>
        <v>0.43307086614173229</v>
      </c>
    </row>
    <row r="17" spans="1:6">
      <c r="A17" t="str">
        <f t="shared" si="1"/>
        <v>North America</v>
      </c>
      <c r="B17">
        <f t="shared" si="1"/>
        <v>124</v>
      </c>
      <c r="C17">
        <f t="shared" si="1"/>
        <v>51</v>
      </c>
      <c r="D17" s="13">
        <f t="shared" si="2"/>
        <v>0.69863013698630139</v>
      </c>
      <c r="E17">
        <f>D10</f>
        <v>73</v>
      </c>
      <c r="F17" s="13">
        <f t="shared" si="2"/>
        <v>1</v>
      </c>
    </row>
    <row r="19" spans="1:6">
      <c r="A19" t="str">
        <f>A14</f>
        <v>Region</v>
      </c>
      <c r="B19" t="s">
        <v>68</v>
      </c>
      <c r="C19" t="s">
        <v>62</v>
      </c>
    </row>
    <row r="20" spans="1:6">
      <c r="A20" t="str">
        <f>A15</f>
        <v>Europe</v>
      </c>
      <c r="B20" s="15">
        <f>C15/B15</f>
        <v>0.4935064935064935</v>
      </c>
      <c r="C20" s="16">
        <f>RANK(B20,$B$20:$B$22)+COUNTIF($B$20:B20,B20)-1</f>
        <v>2</v>
      </c>
    </row>
    <row r="21" spans="1:6">
      <c r="A21" t="str">
        <f>A16</f>
        <v>Pacific</v>
      </c>
      <c r="B21" s="15">
        <f>C16/B16</f>
        <v>0.5</v>
      </c>
      <c r="C21" s="16">
        <f>RANK(B21,$B$20:$B$22)+COUNTIF($B$20:B21,B21)-1</f>
        <v>1</v>
      </c>
    </row>
    <row r="22" spans="1:6">
      <c r="A22" t="str">
        <f>A17</f>
        <v>North America</v>
      </c>
      <c r="B22" s="15">
        <f>C17/B17</f>
        <v>0.41129032258064518</v>
      </c>
      <c r="C22" s="16">
        <f>RANK(B22,$B$20:$B$22)+COUNTIF($B$20:B22,B22)-1</f>
        <v>3</v>
      </c>
    </row>
    <row r="25" spans="1:6">
      <c r="A25" t="s">
        <v>10</v>
      </c>
      <c r="B25" t="s">
        <v>56</v>
      </c>
      <c r="C25" t="s">
        <v>73</v>
      </c>
      <c r="D25" t="s">
        <v>62</v>
      </c>
    </row>
    <row r="26" spans="1:6">
      <c r="A26" t="str">
        <f>INDEX($A$8:$A$10, MATCH(D26,$E$8:$E$10,0))</f>
        <v>Pacific</v>
      </c>
      <c r="B26">
        <f>INDEX($B$8:$B$10, MATCH(D26,$E$8:$E$10,0))</f>
        <v>38</v>
      </c>
      <c r="C26">
        <f>INDEX($C$8:$C$10, MATCH(D26,$E$8:$E$10,0))</f>
        <v>19</v>
      </c>
      <c r="D26">
        <f>COUNT(C8:$C$10)</f>
        <v>3</v>
      </c>
    </row>
    <row r="27" spans="1:6">
      <c r="A27" t="str">
        <f>INDEX($A$8:$A$10, MATCH(D27,$E$8:$E$10,0))</f>
        <v>Europe</v>
      </c>
      <c r="B27">
        <f>INDEX($B$8:$B$10, MATCH(D27,$E$8:$E$10,0))</f>
        <v>77</v>
      </c>
      <c r="C27">
        <f>INDEX($C$8:$C$10, MATCH(D27,$E$8:$E$10,0))</f>
        <v>38</v>
      </c>
      <c r="D27">
        <f>COUNT(C9:$C$10)</f>
        <v>2</v>
      </c>
    </row>
    <row r="28" spans="1:6">
      <c r="A28" t="str">
        <f>INDEX($A$8:$A$10, MATCH(D28,$E$8:$E$10,0))</f>
        <v>North America</v>
      </c>
      <c r="B28">
        <f>INDEX($B$8:$B$10, MATCH(D28,$E$8:$E$10,0))</f>
        <v>124</v>
      </c>
      <c r="C28">
        <f>INDEX($C$8:$C$10, MATCH(D28,$E$8:$E$10,0))</f>
        <v>51</v>
      </c>
      <c r="D28">
        <f>COUNT(C10:$C$10)</f>
        <v>1</v>
      </c>
    </row>
    <row r="31" spans="1:6">
      <c r="A31" t="s">
        <v>93</v>
      </c>
      <c r="B31" t="str">
        <f>INDEX($A$26:$A$28,MATCH(1,$D$26:$D$28,0))</f>
        <v>North America</v>
      </c>
    </row>
    <row r="33" spans="1:3">
      <c r="A33" t="s">
        <v>10</v>
      </c>
      <c r="B33" t="s">
        <v>68</v>
      </c>
      <c r="C33" t="s">
        <v>62</v>
      </c>
    </row>
    <row r="34" spans="1:3">
      <c r="A34" t="str">
        <f>INDEX($A$20:$A$22,MATCH($C34,$C$20:$C$22,0))</f>
        <v>North America</v>
      </c>
      <c r="B34" s="10">
        <f>INDEX($B$20:$B$22,MATCH($C34,$C$20:$C$22,0))</f>
        <v>0.41129032258064518</v>
      </c>
      <c r="C34">
        <f>COUNT(C20:$C$22)</f>
        <v>3</v>
      </c>
    </row>
    <row r="35" spans="1:3">
      <c r="A35" t="str">
        <f>INDEX($A$20:$A$22,MATCH($C35,$C$20:$C$22,0))</f>
        <v>Europe</v>
      </c>
      <c r="B35" s="10">
        <f>INDEX($B$20:$B$22,MATCH($C35,$C$20:$C$22,0))</f>
        <v>0.4935064935064935</v>
      </c>
      <c r="C35">
        <f>COUNT(C21:$C$22)</f>
        <v>2</v>
      </c>
    </row>
    <row r="36" spans="1:3">
      <c r="A36" t="str">
        <f>INDEX($A$20:$A$22,MATCH($C36,$C$20:$C$22,0))</f>
        <v>Pacific</v>
      </c>
      <c r="B36" s="10">
        <f>INDEX($B$20:$B$22,MATCH($C36,$C$20:$C$22,0))</f>
        <v>0.5</v>
      </c>
      <c r="C36">
        <f>COUNT(C22:$C$22)</f>
        <v>1</v>
      </c>
    </row>
    <row r="38" spans="1:3">
      <c r="A38" t="s">
        <v>94</v>
      </c>
      <c r="B38" s="10">
        <f>INDEX($B$34:$B$36,MATCH(1,$C$34:$C$36,0))</f>
        <v>0.5</v>
      </c>
    </row>
    <row r="39" spans="1:3">
      <c r="B39" s="10" t="str">
        <f>INDEX($A$34:$A$36,MATCH(1,$C$34:$C$36,0))</f>
        <v>Pacific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E614-5652-4888-BB1A-E0083677FCD7}">
  <dimension ref="A1:G26"/>
  <sheetViews>
    <sheetView topLeftCell="A7" workbookViewId="0">
      <selection activeCell="A27" sqref="A27"/>
    </sheetView>
  </sheetViews>
  <sheetFormatPr defaultRowHeight="15"/>
  <cols>
    <col min="1" max="1" width="18.5703125" bestFit="1" customWidth="1"/>
    <col min="3" max="3" width="10.140625" bestFit="1" customWidth="1"/>
  </cols>
  <sheetData>
    <row r="1" spans="1:7">
      <c r="A1" s="2" t="s">
        <v>79</v>
      </c>
      <c r="B1" s="2" t="s">
        <v>80</v>
      </c>
      <c r="F1" s="2" t="s">
        <v>74</v>
      </c>
    </row>
    <row r="2" spans="1:7">
      <c r="B2" t="s">
        <v>54</v>
      </c>
      <c r="C2" t="s">
        <v>55</v>
      </c>
      <c r="F2" t="s">
        <v>54</v>
      </c>
      <c r="G2" t="s">
        <v>55</v>
      </c>
    </row>
    <row r="3" spans="1:7">
      <c r="A3" t="s">
        <v>18</v>
      </c>
      <c r="B3">
        <f>SUMPRODUCT(--(Bike_Customers_Data[Commute Distance]=$A3) *
  (Bike_Customers_Data[Gender]=Gender) *
  (Bike_Customers_Data[Marital_Status]=Marital_Status) *
  (Bike_Customers_Data[Region]=Location)
)</f>
        <v>56</v>
      </c>
      <c r="C3">
        <f>COUNTIFS(Bike_Customers_Data[Commute Distance],$A3,
                     Bike_Customers_Data[Gender],Gender,
                     Bike_Customers_Data[Marital_Status],Marital_Status,
                     Bike_Customers_Data[Region],Location)</f>
        <v>56</v>
      </c>
      <c r="F3">
        <f>SUMPRODUCT(--(Bike_Customers_Data[Commute Distance]=$A3) *
  (Bike_Customers_Data[Gender]=Gender) *
  (Bike_Customers_Data[Marital_Status]=Marital_Status) *
  (Bike_Customers_Data[Purchased Bike] = "Yes") *
  (Bike_Customers_Data[Region]=Location)
)</f>
        <v>28</v>
      </c>
      <c r="G3">
        <f>COUNTIFS(Bike_Customers_Data[Commute Distance],$A3,
                     Bike_Customers_Data[Gender],Gender,
                     Bike_Customers_Data[Marital_Status],Marital_Status,
                     Bike_Customers_Data[Purchased Bike],"Yes",
                     Bike_Customers_Data[Region], Location
)</f>
        <v>28</v>
      </c>
    </row>
    <row r="4" spans="1:7">
      <c r="A4" t="s">
        <v>29</v>
      </c>
      <c r="B4">
        <f>SUMPRODUCT(--(Bike_Customers_Data[Commute Distance]=$A4) *
  (Bike_Customers_Data[Gender]=Gender) *
  (Bike_Customers_Data[Marital_Status]=Marital_Status) *
  (Bike_Customers_Data[Region]=Location)
)</f>
        <v>7</v>
      </c>
      <c r="C4">
        <f>COUNTIFS(Bike_Customers_Data[Commute Distance],$A4,
                     Bike_Customers_Data[Gender],Gender,
                     Bike_Customers_Data[Marital_Status],Marital_Status,
                     Bike_Customers_Data[Region],Location)</f>
        <v>7</v>
      </c>
      <c r="F4">
        <f>SUMPRODUCT(--(Bike_Customers_Data[Commute Distance]=$A4) *
  (Bike_Customers_Data[Gender]=Gender) *
  (Bike_Customers_Data[Marital_Status]=Marital_Status) *
  (Bike_Customers_Data[Purchased Bike] = "Yes") *
  (Bike_Customers_Data[Region]=Location)
)</f>
        <v>3</v>
      </c>
      <c r="G4">
        <f>COUNTIFS(Bike_Customers_Data[Commute Distance],$A4,
                     Bike_Customers_Data[Gender],Gender,
                     Bike_Customers_Data[Marital_Status],Marital_Status,
                     Bike_Customers_Data[Purchased Bike],"Yes",
                     Bike_Customers_Data[Region], Location
)</f>
        <v>3</v>
      </c>
    </row>
    <row r="5" spans="1:7">
      <c r="A5" t="s">
        <v>24</v>
      </c>
      <c r="B5">
        <f>SUMPRODUCT(--(Bike_Customers_Data[Commute Distance]=$A5) *
  (Bike_Customers_Data[Gender]=Gender) *
  (Bike_Customers_Data[Marital_Status]=Marital_Status) *
  (Bike_Customers_Data[Region]=Location)
)</f>
        <v>5</v>
      </c>
      <c r="C5">
        <f>COUNTIFS(Bike_Customers_Data[Commute Distance],$A5,
                     Bike_Customers_Data[Gender],Gender,
                     Bike_Customers_Data[Marital_Status],Marital_Status,
                     Bike_Customers_Data[Region],Location)</f>
        <v>5</v>
      </c>
      <c r="F5">
        <f>SUMPRODUCT(--(Bike_Customers_Data[Commute Distance]=$A5) *
  (Bike_Customers_Data[Gender]=Gender) *
  (Bike_Customers_Data[Marital_Status]=Marital_Status) *
  (Bike_Customers_Data[Purchased Bike] = "Yes") *
  (Bike_Customers_Data[Region]=Location)
)</f>
        <v>3</v>
      </c>
      <c r="G5">
        <f>COUNTIFS(Bike_Customers_Data[Commute Distance],$A5,
                     Bike_Customers_Data[Gender],Gender,
                     Bike_Customers_Data[Marital_Status],Marital_Status,
                     Bike_Customers_Data[Purchased Bike],"Yes",
                     Bike_Customers_Data[Region], Location
)</f>
        <v>3</v>
      </c>
    </row>
    <row r="6" spans="1:7">
      <c r="A6" t="s">
        <v>26</v>
      </c>
      <c r="B6">
        <f>SUMPRODUCT(--(Bike_Customers_Data[Commute Distance]=$A6) *
  (Bike_Customers_Data[Gender]=Gender) *
  (Bike_Customers_Data[Marital_Status]=Marital_Status) *
  (Bike_Customers_Data[Region]=Location)
)</f>
        <v>4</v>
      </c>
      <c r="C6">
        <f>COUNTIFS(Bike_Customers_Data[Commute Distance],$A6,
                     Bike_Customers_Data[Gender],Gender,
                     Bike_Customers_Data[Marital_Status],Marital_Status,
                     Bike_Customers_Data[Region],Location)</f>
        <v>4</v>
      </c>
      <c r="F6">
        <f>SUMPRODUCT(--(Bike_Customers_Data[Commute Distance]=$A6) *
  (Bike_Customers_Data[Gender]=Gender) *
  (Bike_Customers_Data[Marital_Status]=Marital_Status) *
  (Bike_Customers_Data[Purchased Bike] = "Yes") *
  (Bike_Customers_Data[Region]=Location)
)</f>
        <v>3</v>
      </c>
      <c r="G6">
        <f>COUNTIFS(Bike_Customers_Data[Commute Distance],$A6,
                     Bike_Customers_Data[Gender],Gender,
                     Bike_Customers_Data[Marital_Status],Marital_Status,
                     Bike_Customers_Data[Purchased Bike],"Yes",
                     Bike_Customers_Data[Region], Location
)</f>
        <v>3</v>
      </c>
    </row>
    <row r="7" spans="1:7">
      <c r="A7" t="s">
        <v>33</v>
      </c>
      <c r="B7">
        <f>SUMPRODUCT(--(Bike_Customers_Data[Commute Distance]=$A7) *
  (Bike_Customers_Data[Gender]=Gender) *
  (Bike_Customers_Data[Marital_Status]=Marital_Status) *
  (Bike_Customers_Data[Region]=Location)
)</f>
        <v>5</v>
      </c>
      <c r="C7">
        <f>COUNTIFS(Bike_Customers_Data[Commute Distance],$A7,
                     Bike_Customers_Data[Gender],Gender,
                     Bike_Customers_Data[Marital_Status],Marital_Status,
                     Bike_Customers_Data[Region],Location)</f>
        <v>5</v>
      </c>
      <c r="F7">
        <f>SUMPRODUCT(--(Bike_Customers_Data[Commute Distance]=$A7) *
  (Bike_Customers_Data[Gender]=Gender) *
  (Bike_Customers_Data[Marital_Status]=Marital_Status) *
  (Bike_Customers_Data[Purchased Bike] = "Yes") *
  (Bike_Customers_Data[Region]=Location)
)</f>
        <v>1</v>
      </c>
      <c r="G7">
        <f>COUNTIFS(Bike_Customers_Data[Commute Distance],$A7,
                     Bike_Customers_Data[Gender],Gender,
                     Bike_Customers_Data[Marital_Status],Marital_Status,
                     Bike_Customers_Data[Purchased Bike],"Yes",
                     Bike_Customers_Data[Region], Location
)</f>
        <v>1</v>
      </c>
    </row>
    <row r="10" spans="1:7">
      <c r="A10" t="str">
        <f>A1</f>
        <v>Commute_Distance</v>
      </c>
      <c r="B10" t="s">
        <v>63</v>
      </c>
      <c r="C10" t="s">
        <v>64</v>
      </c>
      <c r="D10" t="s">
        <v>62</v>
      </c>
    </row>
    <row r="11" spans="1:7">
      <c r="A11" t="str">
        <f>A3</f>
        <v>0-1 Miles</v>
      </c>
      <c r="B11">
        <f>C3</f>
        <v>56</v>
      </c>
      <c r="C11">
        <f>G3</f>
        <v>28</v>
      </c>
      <c r="D11">
        <f>RANK(C11,$C$11:$C$15)+COUNTIF($C$11:C11,C11)-1</f>
        <v>1</v>
      </c>
    </row>
    <row r="12" spans="1:7">
      <c r="A12" t="str">
        <f>A4</f>
        <v>1-2 Miles</v>
      </c>
      <c r="B12">
        <f>C4</f>
        <v>7</v>
      </c>
      <c r="C12">
        <f>G4</f>
        <v>3</v>
      </c>
      <c r="D12">
        <f>RANK(C12,$C$11:$C$15)+COUNTIF($C$11:C12,C12)-1</f>
        <v>2</v>
      </c>
    </row>
    <row r="13" spans="1:7">
      <c r="A13" t="str">
        <f>A5</f>
        <v>2-5 Miles</v>
      </c>
      <c r="B13">
        <f>C5</f>
        <v>5</v>
      </c>
      <c r="C13">
        <f>G5</f>
        <v>3</v>
      </c>
      <c r="D13">
        <f>RANK(C13,$C$11:$C$15)+COUNTIF($C$11:C13,C13)-1</f>
        <v>3</v>
      </c>
    </row>
    <row r="14" spans="1:7">
      <c r="A14" t="str">
        <f>A6</f>
        <v>5-10 Miles</v>
      </c>
      <c r="B14">
        <f>C6</f>
        <v>4</v>
      </c>
      <c r="C14">
        <f>G6</f>
        <v>3</v>
      </c>
      <c r="D14">
        <f>RANK(C14,$C$11:$C$15)+COUNTIF($C$11:C14,C14)-1</f>
        <v>4</v>
      </c>
    </row>
    <row r="15" spans="1:7">
      <c r="A15" t="str">
        <f>A7</f>
        <v>10+ Miles</v>
      </c>
      <c r="B15">
        <f>C7</f>
        <v>5</v>
      </c>
      <c r="C15">
        <f>G7</f>
        <v>1</v>
      </c>
      <c r="D15">
        <f>RANK(C15,$C$11:$C$15)+COUNTIF($C$11:C15,C15)-1</f>
        <v>5</v>
      </c>
    </row>
    <row r="18" spans="1:4">
      <c r="A18" t="str">
        <f>A10</f>
        <v>Commute_Distance</v>
      </c>
      <c r="B18" t="s">
        <v>63</v>
      </c>
      <c r="C18" t="s">
        <v>64</v>
      </c>
      <c r="D18" t="s">
        <v>62</v>
      </c>
    </row>
    <row r="19" spans="1:4">
      <c r="A19" t="str">
        <f>INDEX($A$11:$A$15,MATCH(D19,$D$11:$D$15,0))</f>
        <v>10+ Miles</v>
      </c>
      <c r="B19">
        <f>INDEX($B$11:$B$15,MATCH(D19,$D$11:$D$15,0))</f>
        <v>5</v>
      </c>
      <c r="C19">
        <f>INDEX($C$11:$C$15,MATCH(D19,$D$11:$D$15,0))</f>
        <v>1</v>
      </c>
      <c r="D19">
        <f>COUNT(D11:$D$15)</f>
        <v>5</v>
      </c>
    </row>
    <row r="20" spans="1:4">
      <c r="A20" t="str">
        <f>INDEX($A$11:$A$15,MATCH(D20,$D$11:$D$15,0))</f>
        <v>5-10 Miles</v>
      </c>
      <c r="B20">
        <f>INDEX($B$11:$B$15,MATCH(D20,$D$11:$D$15,0))</f>
        <v>4</v>
      </c>
      <c r="C20">
        <f>INDEX($C$11:$C$15,MATCH(D20,$D$11:$D$15,0))</f>
        <v>3</v>
      </c>
      <c r="D20">
        <f>COUNT(D12:$D$15)</f>
        <v>4</v>
      </c>
    </row>
    <row r="21" spans="1:4">
      <c r="A21" t="str">
        <f>INDEX($A$11:$A$15,MATCH(D21,$D$11:$D$15,0))</f>
        <v>2-5 Miles</v>
      </c>
      <c r="B21">
        <f>INDEX($B$11:$B$15,MATCH(D21,$D$11:$D$15,0))</f>
        <v>5</v>
      </c>
      <c r="C21">
        <f>INDEX($C$11:$C$15,MATCH(D21,$D$11:$D$15,0))</f>
        <v>3</v>
      </c>
      <c r="D21">
        <f>COUNT(D13:$D$15)</f>
        <v>3</v>
      </c>
    </row>
    <row r="22" spans="1:4">
      <c r="A22" t="str">
        <f>INDEX($A$11:$A$15,MATCH(D22,$D$11:$D$15,0))</f>
        <v>1-2 Miles</v>
      </c>
      <c r="B22">
        <f>INDEX($B$11:$B$15,MATCH(D22,$D$11:$D$15,0))</f>
        <v>7</v>
      </c>
      <c r="C22">
        <f>INDEX($C$11:$C$15,MATCH(D22,$D$11:$D$15,0))</f>
        <v>3</v>
      </c>
      <c r="D22">
        <f>COUNT(D14:$D$15)</f>
        <v>2</v>
      </c>
    </row>
    <row r="23" spans="1:4">
      <c r="A23" t="str">
        <f>INDEX($A$11:$A$15,MATCH(D23,$D$11:$D$15,0))</f>
        <v>0-1 Miles</v>
      </c>
      <c r="B23">
        <f>INDEX($B$11:$B$15,MATCH(D23,$D$11:$D$15,0))</f>
        <v>56</v>
      </c>
      <c r="C23">
        <f>INDEX($C$11:$C$15,MATCH(D23,$D$11:$D$15,0))</f>
        <v>28</v>
      </c>
      <c r="D23">
        <f>COUNT(D15:$D$15)</f>
        <v>1</v>
      </c>
    </row>
    <row r="26" spans="1:4">
      <c r="A26" t="str">
        <f>INDEX($A$19:$A$23,MATCH(1,$D$19:$D$23,0))</f>
        <v>0-1 Miles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E54-2DB7-4C71-8889-E5A347BE7A7C}">
  <dimension ref="A1:G9"/>
  <sheetViews>
    <sheetView workbookViewId="0">
      <selection activeCell="C5" sqref="C5"/>
    </sheetView>
  </sheetViews>
  <sheetFormatPr defaultRowHeight="15"/>
  <cols>
    <col min="1" max="1" width="10.7109375" customWidth="1"/>
  </cols>
  <sheetData>
    <row r="1" spans="1:7">
      <c r="B1" t="s">
        <v>81</v>
      </c>
      <c r="F1" t="s">
        <v>83</v>
      </c>
    </row>
    <row r="2" spans="1:7">
      <c r="B2" t="s">
        <v>82</v>
      </c>
      <c r="C2" t="s">
        <v>57</v>
      </c>
    </row>
    <row r="3" spans="1:7">
      <c r="A3" t="s">
        <v>56</v>
      </c>
      <c r="B3">
        <f>SUMPRODUCT(--(Bike_Customers_Data[Marital_Status]=Marital_Status) *
  (Bike_Customers_Data[Gender]=Gender) *
  (Bike_Customers_Data[Region]=Location))</f>
        <v>77</v>
      </c>
      <c r="C3">
        <f>COUNTIFS(Bike_Customers_Data[Gender],Gender,
                   Bike_Customers_Data[Marital_Status],Marital_Status,
                   Bike_Customers_Data[Region],Location)</f>
        <v>77</v>
      </c>
      <c r="F3">
        <f>SUMPRODUCT(--(Bike_Customers_Data[Purchased Bike] &lt;&gt; " "))</f>
        <v>1000</v>
      </c>
    </row>
    <row r="4" spans="1:7">
      <c r="A4" t="s">
        <v>64</v>
      </c>
      <c r="B4">
        <f>SUMPRODUCT(--(Bike_Customers_Data[Marital_Status]=Marital_Status) *
  (Bike_Customers_Data[Gender]=Gender) *
  (Bike_Customers_Data[Region]=Location) *
  (Bike_Customers_Data[Purchased Bike] = "Yes"))</f>
        <v>38</v>
      </c>
      <c r="C4">
        <f>COUNTIFS(Bike_Customers_Data[Gender],Gender,
                   Bike_Customers_Data[Marital_Status],Marital_Status,
                   Bike_Customers_Data[Region],Location,
                   Bike_Customers_Data[Purchased Bike],"Yes")</f>
        <v>38</v>
      </c>
      <c r="F4">
        <f>SUMPRODUCT(--(Bike_Customers_Data[Purchased Bike] &lt;&gt; " ") *
                                     (Bike_Customers_Data[Purchased Bike] = "Yes"))</f>
        <v>481</v>
      </c>
    </row>
    <row r="5" spans="1:7">
      <c r="A5" t="s">
        <v>68</v>
      </c>
      <c r="C5" s="15">
        <f>C4/C3</f>
        <v>0.4935064935064935</v>
      </c>
      <c r="F5" s="10">
        <f>F4/F3</f>
        <v>0.48099999999999998</v>
      </c>
    </row>
    <row r="9" spans="1:7">
      <c r="F9" s="12">
        <f>38/77</f>
        <v>0.4935064935064935</v>
      </c>
      <c r="G9">
        <f>43/87</f>
        <v>0.4942528735632184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bike_buyers main</vt:lpstr>
      <vt:lpstr>bike_buyers</vt:lpstr>
      <vt:lpstr>bike_buyers_final dataset</vt:lpstr>
      <vt:lpstr>Validations</vt:lpstr>
      <vt:lpstr>DashBoard</vt:lpstr>
      <vt:lpstr>Age_Group_Visit_Purchased</vt:lpstr>
      <vt:lpstr>Income Group</vt:lpstr>
      <vt:lpstr>Gender</vt:lpstr>
      <vt:lpstr>Location</vt:lpstr>
      <vt:lpstr>Commute_Distance</vt:lpstr>
      <vt:lpstr>Purchased &amp;Or Visited</vt:lpstr>
      <vt:lpstr>Gender</vt:lpstr>
      <vt:lpstr>Location</vt:lpstr>
      <vt:lpstr>Marital_Status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2026-01-06T00:40:37Z</dcterms:created>
  <dcterms:modified xsi:type="dcterms:W3CDTF">2026-02-18T02:52:47Z</dcterms:modified>
</cp:coreProperties>
</file>